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/Users/Travis/Desktop/"/>
    </mc:Choice>
  </mc:AlternateContent>
  <xr:revisionPtr revIDLastSave="0" documentId="8_{F4F2AC3B-32AE-D647-955C-F13B90568A65}" xr6:coauthVersionLast="47" xr6:coauthVersionMax="47" xr10:uidLastSave="{00000000-0000-0000-0000-000000000000}"/>
  <bookViews>
    <workbookView xWindow="29720" yWindow="-11380" windowWidth="23040" windowHeight="9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" i="1" l="1"/>
  <c r="AL1" i="1"/>
  <c r="AI1" i="1"/>
  <c r="AF1" i="1"/>
  <c r="AC1" i="1"/>
  <c r="Z1" i="1"/>
  <c r="W1" i="1"/>
  <c r="T1" i="1"/>
  <c r="Q1" i="1"/>
  <c r="N1" i="1"/>
  <c r="K1" i="1"/>
  <c r="O4" i="1"/>
  <c r="L4" i="1"/>
  <c r="I4" i="1"/>
  <c r="H1" i="1"/>
  <c r="F2" i="1"/>
  <c r="X18" i="1"/>
  <c r="X17" i="1"/>
  <c r="X16" i="1"/>
  <c r="U18" i="1"/>
  <c r="U17" i="1"/>
  <c r="U16" i="1"/>
  <c r="R18" i="1"/>
  <c r="R17" i="1"/>
  <c r="R16" i="1"/>
  <c r="O18" i="1"/>
  <c r="O17" i="1"/>
  <c r="O16" i="1"/>
  <c r="L18" i="1"/>
  <c r="L17" i="1"/>
  <c r="L16" i="1"/>
  <c r="I17" i="1"/>
  <c r="W18" i="1"/>
  <c r="V18" i="1"/>
  <c r="T18" i="1"/>
  <c r="S18" i="1"/>
  <c r="Q18" i="1"/>
  <c r="P18" i="1"/>
  <c r="N18" i="1"/>
  <c r="M18" i="1"/>
  <c r="K18" i="1"/>
  <c r="J18" i="1"/>
  <c r="G18" i="1"/>
  <c r="E14" i="1"/>
  <c r="E13" i="1"/>
  <c r="E12" i="1"/>
  <c r="E11" i="1"/>
  <c r="E10" i="1"/>
  <c r="E9" i="1"/>
  <c r="E8" i="1"/>
  <c r="E7" i="1"/>
  <c r="E6" i="1"/>
  <c r="E5" i="1"/>
  <c r="E4" i="1"/>
  <c r="D15" i="1"/>
  <c r="E15" i="1" s="1"/>
  <c r="E16" i="1" s="1"/>
  <c r="D14" i="1"/>
  <c r="D13" i="1"/>
  <c r="D12" i="1"/>
  <c r="D11" i="1"/>
  <c r="D10" i="1"/>
  <c r="D9" i="1"/>
  <c r="D8" i="1"/>
  <c r="D7" i="1"/>
  <c r="D6" i="1"/>
  <c r="D5" i="1"/>
  <c r="D4" i="1"/>
  <c r="B5" i="1"/>
  <c r="B6" i="1"/>
  <c r="B7" i="1"/>
  <c r="B8" i="1"/>
  <c r="B9" i="1"/>
  <c r="B10" i="1"/>
  <c r="B11" i="1"/>
  <c r="B12" i="1"/>
  <c r="B13" i="1"/>
  <c r="B14" i="1"/>
  <c r="B15" i="1"/>
  <c r="B4" i="1"/>
  <c r="AO16" i="1"/>
  <c r="AN16" i="1"/>
  <c r="AL16" i="1"/>
  <c r="AK16" i="1"/>
  <c r="AI16" i="1"/>
  <c r="AH16" i="1"/>
  <c r="AF16" i="1"/>
  <c r="AE16" i="1"/>
  <c r="AC16" i="1"/>
  <c r="AB16" i="1"/>
  <c r="Z16" i="1"/>
  <c r="Y16" i="1"/>
  <c r="W16" i="1"/>
  <c r="V16" i="1"/>
  <c r="T16" i="1"/>
  <c r="S16" i="1"/>
  <c r="Q16" i="1"/>
  <c r="P16" i="1"/>
  <c r="N16" i="1"/>
  <c r="M16" i="1"/>
  <c r="K16" i="1"/>
  <c r="J16" i="1"/>
  <c r="H16" i="1"/>
  <c r="I16" i="1" s="1"/>
  <c r="G16" i="1"/>
  <c r="C16" i="1"/>
  <c r="A16" i="1"/>
  <c r="X15" i="1"/>
  <c r="X14" i="1"/>
  <c r="X13" i="1"/>
  <c r="X12" i="1"/>
  <c r="X11" i="1"/>
  <c r="X10" i="1"/>
  <c r="X9" i="1"/>
  <c r="X8" i="1"/>
  <c r="X7" i="1"/>
  <c r="X6" i="1"/>
  <c r="X5" i="1"/>
  <c r="X4" i="1"/>
  <c r="U15" i="1"/>
  <c r="U14" i="1"/>
  <c r="U13" i="1"/>
  <c r="U12" i="1"/>
  <c r="U11" i="1"/>
  <c r="U10" i="1"/>
  <c r="U9" i="1"/>
  <c r="U8" i="1"/>
  <c r="U7" i="1"/>
  <c r="U6" i="1"/>
  <c r="U5" i="1"/>
  <c r="U4" i="1"/>
  <c r="R15" i="1"/>
  <c r="R14" i="1"/>
  <c r="R13" i="1"/>
  <c r="R12" i="1"/>
  <c r="R11" i="1"/>
  <c r="R10" i="1"/>
  <c r="R9" i="1"/>
  <c r="R8" i="1"/>
  <c r="R7" i="1"/>
  <c r="R6" i="1"/>
  <c r="R5" i="1"/>
  <c r="R4" i="1"/>
  <c r="O15" i="1"/>
  <c r="O14" i="1"/>
  <c r="O13" i="1"/>
  <c r="O12" i="1"/>
  <c r="O11" i="1"/>
  <c r="O10" i="1"/>
  <c r="O9" i="1"/>
  <c r="O8" i="1"/>
  <c r="O7" i="1"/>
  <c r="O6" i="1"/>
  <c r="O5" i="1"/>
  <c r="L15" i="1"/>
  <c r="L14" i="1"/>
  <c r="L13" i="1"/>
  <c r="L12" i="1"/>
  <c r="L11" i="1"/>
  <c r="L10" i="1"/>
  <c r="L9" i="1"/>
  <c r="L8" i="1"/>
  <c r="L7" i="1"/>
  <c r="L6" i="1"/>
  <c r="L5" i="1"/>
  <c r="I15" i="1"/>
  <c r="I14" i="1"/>
  <c r="I13" i="1"/>
  <c r="I12" i="1"/>
  <c r="I11" i="1"/>
  <c r="I10" i="1"/>
  <c r="I9" i="1"/>
  <c r="I8" i="1"/>
  <c r="I7" i="1"/>
  <c r="I6" i="1"/>
  <c r="I5" i="1"/>
  <c r="C15" i="1"/>
  <c r="C14" i="1"/>
  <c r="C13" i="1"/>
  <c r="C12" i="1"/>
  <c r="C11" i="1"/>
  <c r="C10" i="1"/>
  <c r="C9" i="1"/>
  <c r="C8" i="1"/>
  <c r="C7" i="1"/>
  <c r="C6" i="1"/>
  <c r="C5" i="1"/>
  <c r="C4" i="1"/>
  <c r="AO17" i="1"/>
  <c r="AL17" i="1"/>
  <c r="AI17" i="1"/>
  <c r="AF17" i="1"/>
  <c r="AC17" i="1"/>
  <c r="Z17" i="1"/>
  <c r="W17" i="1"/>
  <c r="T17" i="1"/>
  <c r="Q17" i="1"/>
  <c r="N17" i="1"/>
  <c r="K17" i="1"/>
  <c r="H17" i="1"/>
  <c r="D16" i="1" l="1"/>
  <c r="H18" i="1"/>
  <c r="I18" i="1" l="1"/>
  <c r="D19" i="1"/>
  <c r="D18" i="1"/>
</calcChain>
</file>

<file path=xl/sharedStrings.xml><?xml version="1.0" encoding="utf-8"?>
<sst xmlns="http://schemas.openxmlformats.org/spreadsheetml/2006/main" count="71" uniqueCount="38">
  <si>
    <t>Personal Budget</t>
  </si>
  <si>
    <t>January</t>
  </si>
  <si>
    <t>February</t>
  </si>
  <si>
    <t>March</t>
  </si>
  <si>
    <t>Rent</t>
  </si>
  <si>
    <t>Car</t>
  </si>
  <si>
    <t>Insurance</t>
  </si>
  <si>
    <t>Phone</t>
  </si>
  <si>
    <t>Internet</t>
  </si>
  <si>
    <t>Gasoline</t>
  </si>
  <si>
    <t>Gifts</t>
  </si>
  <si>
    <t>Restaurants</t>
  </si>
  <si>
    <t>Clothes</t>
  </si>
  <si>
    <t>Utilities</t>
  </si>
  <si>
    <t>Total Expense</t>
  </si>
  <si>
    <t>Savings</t>
  </si>
  <si>
    <t>Last Year</t>
  </si>
  <si>
    <t>Budget</t>
  </si>
  <si>
    <t>Actual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</si>
  <si>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</si>
  <si>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</si>
  <si>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</si>
  <si>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</si>
  <si>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</si>
  <si>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</si>
  <si>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</si>
  <si>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</si>
  <si>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</si>
  <si>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Groceries</t>
  </si>
  <si>
    <t>Miscellaneous</t>
  </si>
  <si>
    <t>Percent Change</t>
  </si>
  <si>
    <t>Change</t>
  </si>
  <si>
    <t>LY per Month</t>
  </si>
  <si>
    <t>Percent to Total</t>
  </si>
  <si>
    <t>TY Average per Month</t>
  </si>
  <si>
    <t>Net Income</t>
  </si>
  <si>
    <t>Highest amount of monthly savings</t>
  </si>
  <si>
    <t>Lowest amount of monthly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</si>
</sst>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1" xfId="0" applyFont="1" applyBorder="1"/>
    <xf numFmtId="0" fontId="2" fillId="0" borderId="0" xfId="0" applyFont="1"/>
    <xf numFmtId="9" fontId="2" fillId="0" borderId="1" xfId="2" applyFont="1" applyBorder="1"/>
    <xf numFmtId="164" fontId="2" fillId="0" borderId="1" xfId="1" applyNumberFormat="1" applyFont="1" applyFill="1" applyBorder="1"/>
    <xf numFmtId="164" fontId="2" fillId="0" borderId="1" xfId="1" applyNumberFormat="1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64" fontId="2" fillId="0" borderId="3" xfId="1" applyNumberFormat="1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164" fontId="2" fillId="0" borderId="4" xfId="1" applyNumberFormat="1" applyFont="1" applyFill="1" applyBorder="1"/>
    <xf numFmtId="164" fontId="2" fillId="0" borderId="4" xfId="1" applyNumberFormat="1" applyFont="1" applyBorder="1"/>
    <xf numFmtId="164" fontId="2" fillId="0" borderId="1" xfId="2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1" xfId="0" applyFont="1" applyBorder="1"/>
    <xf numFmtId="164" fontId="2" fillId="0" borderId="11" xfId="1" applyNumberFormat="1" applyFont="1" applyBorder="1"/>
    <xf numFmtId="9" fontId="2" fillId="0" borderId="11" xfId="2" applyFont="1" applyBorder="1"/>
    <xf numFmtId="164" fontId="2" fillId="0" borderId="19" xfId="1" applyNumberFormat="1" applyFont="1" applyBorder="1"/>
    <xf numFmtId="164" fontId="2" fillId="0" borderId="11" xfId="1" applyNumberFormat="1" applyFont="1" applyFill="1" applyBorder="1"/>
    <xf numFmtId="164" fontId="2" fillId="0" borderId="20" xfId="1" applyNumberFormat="1" applyFont="1" applyBorder="1"/>
    <xf numFmtId="0" fontId="2" fillId="0" borderId="3" xfId="0" applyFont="1" applyBorder="1"/>
    <xf numFmtId="0" fontId="2" fillId="0" borderId="21" xfId="0" applyFont="1" applyBorder="1"/>
    <xf numFmtId="10" fontId="2" fillId="0" borderId="5" xfId="2" applyNumberFormat="1" applyFont="1" applyFill="1" applyBorder="1"/>
    <xf numFmtId="10" fontId="2" fillId="0" borderId="18" xfId="2" applyNumberFormat="1" applyFont="1" applyFill="1" applyBorder="1"/>
    <xf numFmtId="10" fontId="2" fillId="0" borderId="17" xfId="2" applyNumberFormat="1" applyFont="1" applyBorder="1"/>
    <xf numFmtId="10" fontId="2" fillId="0" borderId="5" xfId="2" applyNumberFormat="1" applyFont="1" applyBorder="1"/>
    <xf numFmtId="10" fontId="2" fillId="0" borderId="5" xfId="0" applyNumberFormat="1" applyFont="1" applyBorder="1"/>
    <xf numFmtId="164" fontId="2" fillId="0" borderId="6" xfId="0" applyNumberFormat="1" applyFont="1" applyBorder="1"/>
    <xf numFmtId="0" fontId="2" fillId="0" borderId="5" xfId="0" applyFont="1" applyBorder="1"/>
    <xf numFmtId="0" fontId="2" fillId="0" borderId="18" xfId="0" applyFont="1" applyBorder="1"/>
    <xf numFmtId="0" fontId="2" fillId="0" borderId="17" xfId="0" applyFont="1" applyBorder="1"/>
    <xf numFmtId="0" fontId="3" fillId="2" borderId="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" xfId="2" applyNumberFormat="1" applyFont="1" applyBorder="1"/>
    <xf numFmtId="164" fontId="2" fillId="0" borderId="11" xfId="2" applyNumberFormat="1" applyFont="1" applyBorder="1"/>
    <xf numFmtId="164" fontId="2" fillId="0" borderId="0" xfId="0" applyNumberFormat="1" applyFont="1"/>
    <xf numFmtId="164" fontId="2" fillId="0" borderId="25" xfId="0" applyNumberFormat="1" applyFont="1" applyBorder="1"/>
    <xf numFmtId="164" fontId="2" fillId="0" borderId="29" xfId="0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12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1"/>
  <sheetViews>
    <sheetView tabSelected="1"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sqref="A1:E1"/>
    </sheetView>
  </sheetViews>
  <sheetFormatPr baseColWidth="10" defaultColWidth="9.1640625" defaultRowHeight="16" x14ac:dyDescent="0.2"/>
  <cols>
    <col min="1" max="1" width="12.83203125" style="2" bestFit="1" customWidth="1"/>
    <col min="2" max="2" width="10.33203125" style="2" customWidth="1"/>
    <col min="3" max="3" width="11.33203125" style="2" customWidth="1"/>
    <col min="4" max="4" width="13.33203125" style="2" customWidth="1"/>
    <col min="5" max="5" width="9.1640625" style="2"/>
    <col min="6" max="6" width="18.33203125" style="2" customWidth="1"/>
    <col min="7" max="42" width="10.6640625" style="2" customWidth="1"/>
    <col min="43" max="16384" width="9.1640625" style="2"/>
  </cols>
  <sheetData>
    <row r="1" spans="1:42" ht="17" thickBot="1" x14ac:dyDescent="0.25">
      <c r="A1" s="34" t="s">
        <v>0</v>
      </c>
      <c r="B1" s="35"/>
      <c r="C1" s="35"/>
      <c r="D1" s="35"/>
      <c r="E1" s="36"/>
      <c r="F1" s="1"/>
      <c r="G1" s="17"/>
      <c r="H1" s="16">
        <f>COUNT(H4:H15)</f>
        <v>12</v>
      </c>
      <c r="I1" s="16"/>
      <c r="J1" s="16"/>
      <c r="K1" s="16">
        <f>COUNT(K4:K15)</f>
        <v>12</v>
      </c>
      <c r="L1" s="16"/>
      <c r="M1" s="16"/>
      <c r="N1" s="16">
        <f>COUNT(N4:N15)</f>
        <v>12</v>
      </c>
      <c r="O1" s="16"/>
      <c r="P1" s="16"/>
      <c r="Q1" s="16">
        <f>COUNT(Q4:Q15)</f>
        <v>12</v>
      </c>
      <c r="R1" s="16"/>
      <c r="S1" s="16"/>
      <c r="T1" s="16">
        <f>COUNT(T4:T15)</f>
        <v>12</v>
      </c>
      <c r="U1" s="16"/>
      <c r="V1" s="16"/>
      <c r="W1" s="16">
        <f>COUNT(W4:W15)</f>
        <v>12</v>
      </c>
      <c r="X1" s="16"/>
      <c r="Y1" s="16"/>
      <c r="Z1" s="16">
        <f>COUNT(Z4:Z15)</f>
        <v>0</v>
      </c>
      <c r="AA1" s="16"/>
      <c r="AB1" s="16"/>
      <c r="AC1" s="16">
        <f>COUNT(AC4:AC15)</f>
        <v>0</v>
      </c>
      <c r="AD1" s="16"/>
      <c r="AE1" s="16"/>
      <c r="AF1" s="16">
        <f>COUNT(AF4:AF15)</f>
        <v>0</v>
      </c>
      <c r="AG1" s="16"/>
      <c r="AH1" s="16"/>
      <c r="AI1" s="16">
        <f>COUNT(AI4:AI15)</f>
        <v>0</v>
      </c>
      <c r="AJ1" s="16"/>
      <c r="AK1" s="16"/>
      <c r="AL1" s="16">
        <f>COUNT(AL4:AL15)</f>
        <v>0</v>
      </c>
      <c r="AM1" s="16"/>
      <c r="AN1" s="16"/>
      <c r="AO1" s="16">
        <f>COUNT(AO4:AO15)</f>
        <v>0</v>
      </c>
      <c r="AP1" s="16"/>
    </row>
    <row r="2" spans="1:42" ht="20.25" customHeight="1" x14ac:dyDescent="0.2">
      <c r="A2" s="1"/>
      <c r="B2" s="1"/>
      <c r="C2" s="1"/>
      <c r="D2" s="1"/>
      <c r="E2" s="1"/>
      <c r="F2" s="31">
        <f>COUNTA(F4:F15)</f>
        <v>12</v>
      </c>
      <c r="G2" s="46" t="s">
        <v>1</v>
      </c>
      <c r="H2" s="47"/>
      <c r="I2" s="48"/>
      <c r="J2" s="43" t="s">
        <v>2</v>
      </c>
      <c r="K2" s="49"/>
      <c r="L2" s="45"/>
      <c r="M2" s="43" t="s">
        <v>3</v>
      </c>
      <c r="N2" s="44"/>
      <c r="O2" s="45"/>
      <c r="P2" s="43" t="s">
        <v>19</v>
      </c>
      <c r="Q2" s="44"/>
      <c r="R2" s="45"/>
      <c r="S2" s="43" t="s">
        <v>20</v>
      </c>
      <c r="T2" s="44"/>
      <c r="U2" s="45"/>
      <c r="V2" s="43" t="s">
        <v>21</v>
      </c>
      <c r="W2" s="44"/>
      <c r="X2" s="45"/>
      <c r="Y2" s="43" t="s">
        <v>22</v>
      </c>
      <c r="Z2" s="44"/>
      <c r="AA2" s="45"/>
      <c r="AB2" s="43" t="s">
        <v>23</v>
      </c>
      <c r="AC2" s="44"/>
      <c r="AD2" s="45"/>
      <c r="AE2" s="43" t="s">
        <v>24</v>
      </c>
      <c r="AF2" s="44"/>
      <c r="AG2" s="45"/>
      <c r="AH2" s="43" t="s">
        <v>25</v>
      </c>
      <c r="AI2" s="44"/>
      <c r="AJ2" s="45"/>
      <c r="AK2" s="43" t="s">
        <v>26</v>
      </c>
      <c r="AL2" s="44"/>
      <c r="AM2" s="45"/>
      <c r="AN2" s="43" t="s">
        <v>27</v>
      </c>
      <c r="AO2" s="44"/>
      <c r="AP2" s="45"/>
    </row>
    <row r="3" spans="1:42" ht="34" x14ac:dyDescent="0.2">
      <c r="A3" s="7" t="s">
        <v>16</v>
      </c>
      <c r="B3" s="7" t="s">
        <v>33</v>
      </c>
      <c r="C3" s="7" t="s">
        <v>32</v>
      </c>
      <c r="D3" s="7" t="s">
        <v>34</v>
      </c>
      <c r="E3" s="7" t="s">
        <v>31</v>
      </c>
      <c r="F3" s="31"/>
      <c r="G3" s="10" t="s">
        <v>17</v>
      </c>
      <c r="H3" s="8" t="s">
        <v>18</v>
      </c>
      <c r="I3" s="11" t="s">
        <v>30</v>
      </c>
      <c r="J3" s="10" t="s">
        <v>17</v>
      </c>
      <c r="K3" s="8" t="s">
        <v>18</v>
      </c>
      <c r="L3" s="11" t="s">
        <v>30</v>
      </c>
      <c r="M3" s="10" t="s">
        <v>17</v>
      </c>
      <c r="N3" s="8" t="s">
        <v>18</v>
      </c>
      <c r="O3" s="11" t="s">
        <v>30</v>
      </c>
      <c r="P3" s="10" t="s">
        <v>17</v>
      </c>
      <c r="Q3" s="8" t="s">
        <v>18</v>
      </c>
      <c r="R3" s="11" t="s">
        <v>30</v>
      </c>
      <c r="S3" s="10" t="s">
        <v>17</v>
      </c>
      <c r="T3" s="8" t="s">
        <v>18</v>
      </c>
      <c r="U3" s="11" t="s">
        <v>30</v>
      </c>
      <c r="V3" s="10" t="s">
        <v>17</v>
      </c>
      <c r="W3" s="8" t="s">
        <v>18</v>
      </c>
      <c r="X3" s="11" t="s">
        <v>30</v>
      </c>
      <c r="Y3" s="10" t="s">
        <v>17</v>
      </c>
      <c r="Z3" s="8" t="s">
        <v>18</v>
      </c>
      <c r="AA3" s="11" t="s">
        <v>30</v>
      </c>
      <c r="AB3" s="10" t="s">
        <v>17</v>
      </c>
      <c r="AC3" s="8" t="s">
        <v>18</v>
      </c>
      <c r="AD3" s="11" t="s">
        <v>30</v>
      </c>
      <c r="AE3" s="10" t="s">
        <v>17</v>
      </c>
      <c r="AF3" s="8" t="s">
        <v>18</v>
      </c>
      <c r="AG3" s="11" t="s">
        <v>30</v>
      </c>
      <c r="AH3" s="10" t="s">
        <v>17</v>
      </c>
      <c r="AI3" s="8" t="s">
        <v>18</v>
      </c>
      <c r="AJ3" s="11" t="s">
        <v>30</v>
      </c>
      <c r="AK3" s="10" t="s">
        <v>17</v>
      </c>
      <c r="AL3" s="8" t="s">
        <v>18</v>
      </c>
      <c r="AM3" s="11" t="s">
        <v>30</v>
      </c>
      <c r="AN3" s="10" t="s">
        <v>17</v>
      </c>
      <c r="AO3" s="8" t="s">
        <v>18</v>
      </c>
      <c r="AP3" s="11" t="s">
        <v>30</v>
      </c>
    </row>
    <row r="4" spans="1:42" x14ac:dyDescent="0.2">
      <c r="A4" s="5">
        <v>13800</v>
      </c>
      <c r="B4" s="3">
        <f>A4/$A$16</f>
        <v>0.48218029350104824</v>
      </c>
      <c r="C4" s="5">
        <f>A4/12</f>
        <v>1150</v>
      </c>
      <c r="D4" s="14">
        <f>AVERAGE(H4,K4,N4,Q4,T4,W4,Z4,AC4,AF4,AI4,AL4,AO4)</f>
        <v>1200</v>
      </c>
      <c r="E4" s="6">
        <f>D4-C4</f>
        <v>50</v>
      </c>
      <c r="F4" s="31" t="s">
        <v>4</v>
      </c>
      <c r="G4" s="12">
        <v>1200</v>
      </c>
      <c r="H4" s="4">
        <v>1200</v>
      </c>
      <c r="I4" s="25">
        <f>(H4-G4)/G4</f>
        <v>0</v>
      </c>
      <c r="J4" s="12">
        <v>1200</v>
      </c>
      <c r="K4" s="4">
        <v>1200</v>
      </c>
      <c r="L4" s="25">
        <f>(K4-J4)/J4</f>
        <v>0</v>
      </c>
      <c r="M4" s="12">
        <v>1200</v>
      </c>
      <c r="N4" s="4">
        <v>1200</v>
      </c>
      <c r="O4" s="25">
        <f>(N4-M4)/M4</f>
        <v>0</v>
      </c>
      <c r="P4" s="12">
        <v>1200</v>
      </c>
      <c r="Q4" s="4">
        <v>1200</v>
      </c>
      <c r="R4" s="25">
        <f>(Q4-P4)/P4</f>
        <v>0</v>
      </c>
      <c r="S4" s="12">
        <v>1200</v>
      </c>
      <c r="T4" s="4">
        <v>1200</v>
      </c>
      <c r="U4" s="25">
        <f>(T4-S4)/S4</f>
        <v>0</v>
      </c>
      <c r="V4" s="12">
        <v>1200</v>
      </c>
      <c r="W4" s="4">
        <v>1200</v>
      </c>
      <c r="X4" s="25">
        <f>(W4-V4)/V4</f>
        <v>0</v>
      </c>
      <c r="Y4" s="12">
        <v>1200</v>
      </c>
      <c r="Z4" s="4"/>
      <c r="AA4" s="25"/>
      <c r="AB4" s="12">
        <v>1200</v>
      </c>
      <c r="AC4" s="4"/>
      <c r="AD4" s="25"/>
      <c r="AE4" s="12">
        <v>1200</v>
      </c>
      <c r="AF4" s="4"/>
      <c r="AG4" s="25"/>
      <c r="AH4" s="12">
        <v>1200</v>
      </c>
      <c r="AI4" s="4"/>
      <c r="AJ4" s="25"/>
      <c r="AK4" s="12">
        <v>1200</v>
      </c>
      <c r="AL4" s="4"/>
      <c r="AM4" s="25"/>
      <c r="AN4" s="12">
        <v>1200</v>
      </c>
      <c r="AO4" s="4"/>
      <c r="AP4" s="25"/>
    </row>
    <row r="5" spans="1:42" x14ac:dyDescent="0.2">
      <c r="A5" s="5">
        <v>3000</v>
      </c>
      <c r="B5" s="50">
        <f t="shared" ref="B5:B15" si="0">A5/$A$16</f>
        <v>0.10482180293501048</v>
      </c>
      <c r="C5" s="5">
        <f t="shared" ref="C5:C15" si="1">A5/12</f>
        <v>250</v>
      </c>
      <c r="D5" s="14">
        <f t="shared" ref="D5:D15" si="2">AVERAGE(H5,K5,N5,Q5,T5,W5,Z5,AC5,AF5,AI5,AL5,AO5)</f>
        <v>250</v>
      </c>
      <c r="E5" s="6">
        <f t="shared" ref="E5:E15" si="3">D5-C5</f>
        <v>0</v>
      </c>
      <c r="F5" s="31" t="s">
        <v>5</v>
      </c>
      <c r="G5" s="12">
        <v>250</v>
      </c>
      <c r="H5" s="4">
        <v>250</v>
      </c>
      <c r="I5" s="25">
        <f t="shared" ref="I5:I18" si="4">(H5-G5)/G5</f>
        <v>0</v>
      </c>
      <c r="J5" s="12">
        <v>250</v>
      </c>
      <c r="K5" s="4">
        <v>250</v>
      </c>
      <c r="L5" s="25">
        <f t="shared" ref="L5:L15" si="5">(K5-J5)/J5</f>
        <v>0</v>
      </c>
      <c r="M5" s="12">
        <v>250</v>
      </c>
      <c r="N5" s="4">
        <v>250</v>
      </c>
      <c r="O5" s="25">
        <f t="shared" ref="O5:O15" si="6">(N5-M5)/M5</f>
        <v>0</v>
      </c>
      <c r="P5" s="12">
        <v>250</v>
      </c>
      <c r="Q5" s="4">
        <v>250</v>
      </c>
      <c r="R5" s="25">
        <f t="shared" ref="R5:R15" si="7">(Q5-P5)/P5</f>
        <v>0</v>
      </c>
      <c r="S5" s="12">
        <v>250</v>
      </c>
      <c r="T5" s="4">
        <v>250</v>
      </c>
      <c r="U5" s="25">
        <f t="shared" ref="U5:U15" si="8">(T5-S5)/S5</f>
        <v>0</v>
      </c>
      <c r="V5" s="12">
        <v>250</v>
      </c>
      <c r="W5" s="4">
        <v>250</v>
      </c>
      <c r="X5" s="25">
        <f t="shared" ref="X5:X15" si="9">(W5-V5)/V5</f>
        <v>0</v>
      </c>
      <c r="Y5" s="12">
        <v>250</v>
      </c>
      <c r="Z5" s="4"/>
      <c r="AA5" s="25"/>
      <c r="AB5" s="12">
        <v>250</v>
      </c>
      <c r="AC5" s="4"/>
      <c r="AD5" s="25"/>
      <c r="AE5" s="12">
        <v>250</v>
      </c>
      <c r="AF5" s="4"/>
      <c r="AG5" s="25"/>
      <c r="AH5" s="12">
        <v>250</v>
      </c>
      <c r="AI5" s="4"/>
      <c r="AJ5" s="25"/>
      <c r="AK5" s="12">
        <v>250</v>
      </c>
      <c r="AL5" s="4"/>
      <c r="AM5" s="25"/>
      <c r="AN5" s="12">
        <v>250</v>
      </c>
      <c r="AO5" s="4"/>
      <c r="AP5" s="25"/>
    </row>
    <row r="6" spans="1:42" x14ac:dyDescent="0.2">
      <c r="A6" s="6">
        <v>1200</v>
      </c>
      <c r="B6" s="3">
        <f t="shared" si="0"/>
        <v>4.1928721174004195E-2</v>
      </c>
      <c r="C6" s="5">
        <f t="shared" si="1"/>
        <v>100</v>
      </c>
      <c r="D6" s="14">
        <f t="shared" si="2"/>
        <v>100</v>
      </c>
      <c r="E6" s="6">
        <f t="shared" si="3"/>
        <v>0</v>
      </c>
      <c r="F6" s="31" t="s">
        <v>6</v>
      </c>
      <c r="G6" s="12">
        <v>100</v>
      </c>
      <c r="H6" s="4">
        <v>100</v>
      </c>
      <c r="I6" s="25">
        <f t="shared" si="4"/>
        <v>0</v>
      </c>
      <c r="J6" s="12">
        <v>100</v>
      </c>
      <c r="K6" s="4">
        <v>100</v>
      </c>
      <c r="L6" s="25">
        <f t="shared" si="5"/>
        <v>0</v>
      </c>
      <c r="M6" s="12">
        <v>100</v>
      </c>
      <c r="N6" s="4">
        <v>100</v>
      </c>
      <c r="O6" s="25">
        <f t="shared" si="6"/>
        <v>0</v>
      </c>
      <c r="P6" s="12">
        <v>100</v>
      </c>
      <c r="Q6" s="4">
        <v>100</v>
      </c>
      <c r="R6" s="25">
        <f t="shared" si="7"/>
        <v>0</v>
      </c>
      <c r="S6" s="12">
        <v>100</v>
      </c>
      <c r="T6" s="4">
        <v>100</v>
      </c>
      <c r="U6" s="25">
        <f t="shared" si="8"/>
        <v>0</v>
      </c>
      <c r="V6" s="12">
        <v>100</v>
      </c>
      <c r="W6" s="4">
        <v>100</v>
      </c>
      <c r="X6" s="25">
        <f t="shared" si="9"/>
        <v>0</v>
      </c>
      <c r="Y6" s="12">
        <v>100</v>
      </c>
      <c r="Z6" s="4"/>
      <c r="AA6" s="25"/>
      <c r="AB6" s="12">
        <v>100</v>
      </c>
      <c r="AC6" s="4"/>
      <c r="AD6" s="25"/>
      <c r="AE6" s="12">
        <v>100</v>
      </c>
      <c r="AF6" s="4"/>
      <c r="AG6" s="25"/>
      <c r="AH6" s="12">
        <v>100</v>
      </c>
      <c r="AI6" s="4"/>
      <c r="AJ6" s="25"/>
      <c r="AK6" s="12">
        <v>100</v>
      </c>
      <c r="AL6" s="4"/>
      <c r="AM6" s="25"/>
      <c r="AN6" s="12">
        <v>100</v>
      </c>
      <c r="AO6" s="4"/>
      <c r="AP6" s="25"/>
    </row>
    <row r="7" spans="1:42" x14ac:dyDescent="0.2">
      <c r="A7" s="6">
        <v>600</v>
      </c>
      <c r="B7" s="3">
        <f t="shared" si="0"/>
        <v>2.0964360587002098E-2</v>
      </c>
      <c r="C7" s="5">
        <f t="shared" si="1"/>
        <v>50</v>
      </c>
      <c r="D7" s="14">
        <f t="shared" si="2"/>
        <v>50</v>
      </c>
      <c r="E7" s="52">
        <f t="shared" si="3"/>
        <v>0</v>
      </c>
      <c r="F7" s="31" t="s">
        <v>7</v>
      </c>
      <c r="G7" s="12">
        <v>50</v>
      </c>
      <c r="H7" s="4">
        <v>50</v>
      </c>
      <c r="I7" s="25">
        <f t="shared" si="4"/>
        <v>0</v>
      </c>
      <c r="J7" s="12">
        <v>50</v>
      </c>
      <c r="K7" s="4">
        <v>50</v>
      </c>
      <c r="L7" s="25">
        <f t="shared" si="5"/>
        <v>0</v>
      </c>
      <c r="M7" s="12">
        <v>50</v>
      </c>
      <c r="N7" s="4">
        <v>50</v>
      </c>
      <c r="O7" s="25">
        <f t="shared" si="6"/>
        <v>0</v>
      </c>
      <c r="P7" s="12">
        <v>50</v>
      </c>
      <c r="Q7" s="4">
        <v>50</v>
      </c>
      <c r="R7" s="25">
        <f t="shared" si="7"/>
        <v>0</v>
      </c>
      <c r="S7" s="12">
        <v>50</v>
      </c>
      <c r="T7" s="4">
        <v>50</v>
      </c>
      <c r="U7" s="25">
        <f t="shared" si="8"/>
        <v>0</v>
      </c>
      <c r="V7" s="12">
        <v>50</v>
      </c>
      <c r="W7" s="4">
        <v>50</v>
      </c>
      <c r="X7" s="25">
        <f t="shared" si="9"/>
        <v>0</v>
      </c>
      <c r="Y7" s="12">
        <v>50</v>
      </c>
      <c r="Z7" s="4"/>
      <c r="AA7" s="25"/>
      <c r="AB7" s="12">
        <v>50</v>
      </c>
      <c r="AC7" s="4"/>
      <c r="AD7" s="25"/>
      <c r="AE7" s="12">
        <v>50</v>
      </c>
      <c r="AF7" s="4"/>
      <c r="AG7" s="25"/>
      <c r="AH7" s="12">
        <v>50</v>
      </c>
      <c r="AI7" s="4"/>
      <c r="AJ7" s="25"/>
      <c r="AK7" s="12">
        <v>50</v>
      </c>
      <c r="AL7" s="4"/>
      <c r="AM7" s="25"/>
      <c r="AN7" s="12">
        <v>50</v>
      </c>
      <c r="AO7" s="4"/>
      <c r="AP7" s="25"/>
    </row>
    <row r="8" spans="1:42" x14ac:dyDescent="0.2">
      <c r="A8" s="6">
        <v>720</v>
      </c>
      <c r="B8" s="3">
        <f t="shared" si="0"/>
        <v>2.5157232704402517E-2</v>
      </c>
      <c r="C8" s="5">
        <f t="shared" si="1"/>
        <v>60</v>
      </c>
      <c r="D8" s="14">
        <f t="shared" si="2"/>
        <v>70</v>
      </c>
      <c r="E8" s="6">
        <f t="shared" si="3"/>
        <v>10</v>
      </c>
      <c r="F8" s="31" t="s">
        <v>8</v>
      </c>
      <c r="G8" s="12">
        <v>70</v>
      </c>
      <c r="H8" s="4">
        <v>70</v>
      </c>
      <c r="I8" s="25">
        <f t="shared" si="4"/>
        <v>0</v>
      </c>
      <c r="J8" s="12">
        <v>70</v>
      </c>
      <c r="K8" s="4">
        <v>70</v>
      </c>
      <c r="L8" s="25">
        <f t="shared" si="5"/>
        <v>0</v>
      </c>
      <c r="M8" s="12">
        <v>70</v>
      </c>
      <c r="N8" s="4">
        <v>70</v>
      </c>
      <c r="O8" s="25">
        <f t="shared" si="6"/>
        <v>0</v>
      </c>
      <c r="P8" s="12">
        <v>70</v>
      </c>
      <c r="Q8" s="4">
        <v>70</v>
      </c>
      <c r="R8" s="25">
        <f t="shared" si="7"/>
        <v>0</v>
      </c>
      <c r="S8" s="12">
        <v>70</v>
      </c>
      <c r="T8" s="4">
        <v>70</v>
      </c>
      <c r="U8" s="25">
        <f t="shared" si="8"/>
        <v>0</v>
      </c>
      <c r="V8" s="12">
        <v>70</v>
      </c>
      <c r="W8" s="4">
        <v>70</v>
      </c>
      <c r="X8" s="25">
        <f t="shared" si="9"/>
        <v>0</v>
      </c>
      <c r="Y8" s="12">
        <v>70</v>
      </c>
      <c r="Z8" s="4"/>
      <c r="AA8" s="25"/>
      <c r="AB8" s="12">
        <v>70</v>
      </c>
      <c r="AC8" s="4"/>
      <c r="AD8" s="25"/>
      <c r="AE8" s="12">
        <v>70</v>
      </c>
      <c r="AF8" s="4"/>
      <c r="AG8" s="25"/>
      <c r="AH8" s="12">
        <v>70</v>
      </c>
      <c r="AI8" s="4"/>
      <c r="AJ8" s="25"/>
      <c r="AK8" s="12">
        <v>70</v>
      </c>
      <c r="AL8" s="4"/>
      <c r="AM8" s="25"/>
      <c r="AN8" s="12">
        <v>70</v>
      </c>
      <c r="AO8" s="4"/>
      <c r="AP8" s="25"/>
    </row>
    <row r="9" spans="1:42" x14ac:dyDescent="0.2">
      <c r="A9" s="5">
        <v>1020</v>
      </c>
      <c r="B9" s="3">
        <f t="shared" si="0"/>
        <v>3.5639412997903561E-2</v>
      </c>
      <c r="C9" s="5">
        <f t="shared" si="1"/>
        <v>85</v>
      </c>
      <c r="D9" s="14">
        <f t="shared" si="2"/>
        <v>105</v>
      </c>
      <c r="E9" s="14">
        <f t="shared" si="3"/>
        <v>20</v>
      </c>
      <c r="F9" s="31" t="s">
        <v>13</v>
      </c>
      <c r="G9" s="13">
        <v>90</v>
      </c>
      <c r="H9" s="4">
        <v>120</v>
      </c>
      <c r="I9" s="25">
        <f t="shared" si="4"/>
        <v>0.33333333333333331</v>
      </c>
      <c r="J9" s="13">
        <v>90</v>
      </c>
      <c r="K9" s="4">
        <v>140</v>
      </c>
      <c r="L9" s="25">
        <f t="shared" si="5"/>
        <v>0.55555555555555558</v>
      </c>
      <c r="M9" s="13">
        <v>90</v>
      </c>
      <c r="N9" s="5">
        <v>130</v>
      </c>
      <c r="O9" s="25">
        <f t="shared" si="6"/>
        <v>0.44444444444444442</v>
      </c>
      <c r="P9" s="13">
        <v>90</v>
      </c>
      <c r="Q9" s="5">
        <v>80</v>
      </c>
      <c r="R9" s="25">
        <f t="shared" si="7"/>
        <v>-0.1111111111111111</v>
      </c>
      <c r="S9" s="13">
        <v>90</v>
      </c>
      <c r="T9" s="9">
        <v>70</v>
      </c>
      <c r="U9" s="25">
        <f t="shared" si="8"/>
        <v>-0.22222222222222221</v>
      </c>
      <c r="V9" s="13">
        <v>90</v>
      </c>
      <c r="W9" s="5">
        <v>90</v>
      </c>
      <c r="X9" s="25">
        <f t="shared" si="9"/>
        <v>0</v>
      </c>
      <c r="Y9" s="13">
        <v>90</v>
      </c>
      <c r="Z9" s="5"/>
      <c r="AA9" s="25"/>
      <c r="AB9" s="13">
        <v>90</v>
      </c>
      <c r="AC9" s="5"/>
      <c r="AD9" s="25"/>
      <c r="AE9" s="13">
        <v>90</v>
      </c>
      <c r="AF9" s="5"/>
      <c r="AG9" s="25"/>
      <c r="AH9" s="13">
        <v>90</v>
      </c>
      <c r="AI9" s="5"/>
      <c r="AJ9" s="25"/>
      <c r="AK9" s="13">
        <v>90</v>
      </c>
      <c r="AL9" s="5"/>
      <c r="AM9" s="25"/>
      <c r="AN9" s="13">
        <v>90</v>
      </c>
      <c r="AO9" s="5"/>
      <c r="AP9" s="25"/>
    </row>
    <row r="10" spans="1:42" x14ac:dyDescent="0.2">
      <c r="A10" s="5">
        <v>3360</v>
      </c>
      <c r="B10" s="3">
        <f t="shared" si="0"/>
        <v>0.11740041928721175</v>
      </c>
      <c r="C10" s="5">
        <f t="shared" si="1"/>
        <v>280</v>
      </c>
      <c r="D10" s="14">
        <f t="shared" si="2"/>
        <v>285</v>
      </c>
      <c r="E10" s="14">
        <f t="shared" si="3"/>
        <v>5</v>
      </c>
      <c r="F10" s="31" t="s">
        <v>28</v>
      </c>
      <c r="G10" s="13">
        <v>250</v>
      </c>
      <c r="H10" s="4">
        <v>400</v>
      </c>
      <c r="I10" s="25">
        <f t="shared" si="4"/>
        <v>0.6</v>
      </c>
      <c r="J10" s="13">
        <v>250</v>
      </c>
      <c r="K10" s="4">
        <v>250</v>
      </c>
      <c r="L10" s="25">
        <f t="shared" si="5"/>
        <v>0</v>
      </c>
      <c r="M10" s="13">
        <v>250</v>
      </c>
      <c r="N10" s="5">
        <v>220</v>
      </c>
      <c r="O10" s="25">
        <f t="shared" si="6"/>
        <v>-0.12</v>
      </c>
      <c r="P10" s="13">
        <v>250</v>
      </c>
      <c r="Q10" s="5">
        <v>260</v>
      </c>
      <c r="R10" s="25">
        <f t="shared" si="7"/>
        <v>0.04</v>
      </c>
      <c r="S10" s="13">
        <v>250</v>
      </c>
      <c r="T10" s="9">
        <v>280</v>
      </c>
      <c r="U10" s="25">
        <f t="shared" si="8"/>
        <v>0.12</v>
      </c>
      <c r="V10" s="13">
        <v>250</v>
      </c>
      <c r="W10" s="5">
        <v>300</v>
      </c>
      <c r="X10" s="25">
        <f t="shared" si="9"/>
        <v>0.2</v>
      </c>
      <c r="Y10" s="13">
        <v>250</v>
      </c>
      <c r="Z10" s="5"/>
      <c r="AA10" s="25"/>
      <c r="AB10" s="13">
        <v>250</v>
      </c>
      <c r="AC10" s="5"/>
      <c r="AD10" s="25"/>
      <c r="AE10" s="13">
        <v>250</v>
      </c>
      <c r="AF10" s="5"/>
      <c r="AG10" s="25"/>
      <c r="AH10" s="13">
        <v>250</v>
      </c>
      <c r="AI10" s="5"/>
      <c r="AJ10" s="25"/>
      <c r="AK10" s="13">
        <v>250</v>
      </c>
      <c r="AL10" s="5"/>
      <c r="AM10" s="25"/>
      <c r="AN10" s="13">
        <v>250</v>
      </c>
      <c r="AO10" s="5"/>
      <c r="AP10" s="25"/>
    </row>
    <row r="11" spans="1:42" x14ac:dyDescent="0.2">
      <c r="A11" s="5">
        <v>840</v>
      </c>
      <c r="B11" s="3">
        <f t="shared" si="0"/>
        <v>2.9350104821802937E-2</v>
      </c>
      <c r="C11" s="5">
        <f t="shared" si="1"/>
        <v>70</v>
      </c>
      <c r="D11" s="14">
        <f t="shared" si="2"/>
        <v>94.166666666666671</v>
      </c>
      <c r="E11" s="14">
        <f t="shared" si="3"/>
        <v>24.166666666666671</v>
      </c>
      <c r="F11" s="31" t="s">
        <v>9</v>
      </c>
      <c r="G11" s="13">
        <v>70</v>
      </c>
      <c r="H11" s="4">
        <v>100</v>
      </c>
      <c r="I11" s="25">
        <f t="shared" si="4"/>
        <v>0.42857142857142855</v>
      </c>
      <c r="J11" s="13">
        <v>70</v>
      </c>
      <c r="K11" s="4">
        <v>80</v>
      </c>
      <c r="L11" s="25">
        <f t="shared" si="5"/>
        <v>0.14285714285714285</v>
      </c>
      <c r="M11" s="13">
        <v>70</v>
      </c>
      <c r="N11" s="5">
        <v>75</v>
      </c>
      <c r="O11" s="25">
        <f t="shared" si="6"/>
        <v>7.1428571428571425E-2</v>
      </c>
      <c r="P11" s="13">
        <v>70</v>
      </c>
      <c r="Q11" s="5">
        <v>90</v>
      </c>
      <c r="R11" s="25">
        <f t="shared" si="7"/>
        <v>0.2857142857142857</v>
      </c>
      <c r="S11" s="13">
        <v>70</v>
      </c>
      <c r="T11" s="9">
        <v>100</v>
      </c>
      <c r="U11" s="25">
        <f t="shared" si="8"/>
        <v>0.42857142857142855</v>
      </c>
      <c r="V11" s="13">
        <v>70</v>
      </c>
      <c r="W11" s="5">
        <v>120</v>
      </c>
      <c r="X11" s="25">
        <f t="shared" si="9"/>
        <v>0.7142857142857143</v>
      </c>
      <c r="Y11" s="13">
        <v>70</v>
      </c>
      <c r="Z11" s="5"/>
      <c r="AA11" s="25"/>
      <c r="AB11" s="13">
        <v>70</v>
      </c>
      <c r="AC11" s="5"/>
      <c r="AD11" s="25"/>
      <c r="AE11" s="13">
        <v>70</v>
      </c>
      <c r="AF11" s="5"/>
      <c r="AG11" s="25"/>
      <c r="AH11" s="13">
        <v>70</v>
      </c>
      <c r="AI11" s="5"/>
      <c r="AJ11" s="25"/>
      <c r="AK11" s="13">
        <v>70</v>
      </c>
      <c r="AL11" s="5"/>
      <c r="AM11" s="25"/>
      <c r="AN11" s="13">
        <v>70</v>
      </c>
      <c r="AO11" s="5"/>
      <c r="AP11" s="25"/>
    </row>
    <row r="12" spans="1:42" x14ac:dyDescent="0.2">
      <c r="A12" s="5">
        <v>420</v>
      </c>
      <c r="B12" s="3">
        <f t="shared" si="0"/>
        <v>1.4675052410901468E-2</v>
      </c>
      <c r="C12" s="5">
        <f t="shared" si="1"/>
        <v>35</v>
      </c>
      <c r="D12" s="14">
        <f t="shared" si="2"/>
        <v>36.666666666666664</v>
      </c>
      <c r="E12" s="14">
        <f t="shared" si="3"/>
        <v>1.6666666666666643</v>
      </c>
      <c r="F12" s="31" t="s">
        <v>10</v>
      </c>
      <c r="G12" s="13">
        <v>35</v>
      </c>
      <c r="H12" s="4">
        <v>10</v>
      </c>
      <c r="I12" s="25">
        <f t="shared" si="4"/>
        <v>-0.7142857142857143</v>
      </c>
      <c r="J12" s="13">
        <v>35</v>
      </c>
      <c r="K12" s="4">
        <v>50</v>
      </c>
      <c r="L12" s="25">
        <f t="shared" si="5"/>
        <v>0.42857142857142855</v>
      </c>
      <c r="M12" s="13">
        <v>35</v>
      </c>
      <c r="N12" s="5">
        <v>20</v>
      </c>
      <c r="O12" s="25">
        <f t="shared" si="6"/>
        <v>-0.42857142857142855</v>
      </c>
      <c r="P12" s="13">
        <v>35</v>
      </c>
      <c r="Q12" s="5">
        <v>80</v>
      </c>
      <c r="R12" s="25">
        <f t="shared" si="7"/>
        <v>1.2857142857142858</v>
      </c>
      <c r="S12" s="13">
        <v>35</v>
      </c>
      <c r="T12" s="9">
        <v>50</v>
      </c>
      <c r="U12" s="25">
        <f t="shared" si="8"/>
        <v>0.42857142857142855</v>
      </c>
      <c r="V12" s="13">
        <v>35</v>
      </c>
      <c r="W12" s="5">
        <v>10</v>
      </c>
      <c r="X12" s="25">
        <f t="shared" si="9"/>
        <v>-0.7142857142857143</v>
      </c>
      <c r="Y12" s="13">
        <v>35</v>
      </c>
      <c r="Z12" s="5"/>
      <c r="AA12" s="25"/>
      <c r="AB12" s="13">
        <v>35</v>
      </c>
      <c r="AC12" s="5"/>
      <c r="AD12" s="25"/>
      <c r="AE12" s="13">
        <v>35</v>
      </c>
      <c r="AF12" s="5"/>
      <c r="AG12" s="25"/>
      <c r="AH12" s="13">
        <v>35</v>
      </c>
      <c r="AI12" s="5"/>
      <c r="AJ12" s="25"/>
      <c r="AK12" s="13">
        <v>35</v>
      </c>
      <c r="AL12" s="5"/>
      <c r="AM12" s="25"/>
      <c r="AN12" s="13">
        <v>35</v>
      </c>
      <c r="AO12" s="5"/>
      <c r="AP12" s="25"/>
    </row>
    <row r="13" spans="1:42" x14ac:dyDescent="0.2">
      <c r="A13" s="5">
        <v>1440</v>
      </c>
      <c r="B13" s="3">
        <f t="shared" si="0"/>
        <v>5.0314465408805034E-2</v>
      </c>
      <c r="C13" s="5">
        <f t="shared" si="1"/>
        <v>120</v>
      </c>
      <c r="D13" s="14">
        <f t="shared" si="2"/>
        <v>133.33333333333334</v>
      </c>
      <c r="E13" s="14">
        <f t="shared" si="3"/>
        <v>13.333333333333343</v>
      </c>
      <c r="F13" s="31" t="s">
        <v>11</v>
      </c>
      <c r="G13" s="13">
        <v>100</v>
      </c>
      <c r="H13" s="4">
        <v>200</v>
      </c>
      <c r="I13" s="25">
        <f t="shared" si="4"/>
        <v>1</v>
      </c>
      <c r="J13" s="13">
        <v>100</v>
      </c>
      <c r="K13" s="4">
        <v>150</v>
      </c>
      <c r="L13" s="25">
        <f t="shared" si="5"/>
        <v>0.5</v>
      </c>
      <c r="M13" s="13">
        <v>100</v>
      </c>
      <c r="N13" s="5">
        <v>50</v>
      </c>
      <c r="O13" s="25">
        <f t="shared" si="6"/>
        <v>-0.5</v>
      </c>
      <c r="P13" s="13">
        <v>100</v>
      </c>
      <c r="Q13" s="5">
        <v>80</v>
      </c>
      <c r="R13" s="25">
        <f t="shared" si="7"/>
        <v>-0.2</v>
      </c>
      <c r="S13" s="13">
        <v>100</v>
      </c>
      <c r="T13" s="9">
        <v>170</v>
      </c>
      <c r="U13" s="25">
        <f t="shared" si="8"/>
        <v>0.7</v>
      </c>
      <c r="V13" s="13">
        <v>100</v>
      </c>
      <c r="W13" s="5">
        <v>150</v>
      </c>
      <c r="X13" s="25">
        <f t="shared" si="9"/>
        <v>0.5</v>
      </c>
      <c r="Y13" s="13">
        <v>100</v>
      </c>
      <c r="Z13" s="5"/>
      <c r="AA13" s="25"/>
      <c r="AB13" s="13">
        <v>100</v>
      </c>
      <c r="AC13" s="5"/>
      <c r="AD13" s="25"/>
      <c r="AE13" s="13">
        <v>100</v>
      </c>
      <c r="AF13" s="5"/>
      <c r="AG13" s="25"/>
      <c r="AH13" s="13">
        <v>100</v>
      </c>
      <c r="AI13" s="5"/>
      <c r="AJ13" s="25"/>
      <c r="AK13" s="13">
        <v>100</v>
      </c>
      <c r="AL13" s="5"/>
      <c r="AM13" s="25"/>
      <c r="AN13" s="13">
        <v>100</v>
      </c>
      <c r="AO13" s="5"/>
      <c r="AP13" s="25"/>
    </row>
    <row r="14" spans="1:42" x14ac:dyDescent="0.2">
      <c r="A14" s="5">
        <v>720</v>
      </c>
      <c r="B14" s="3">
        <f t="shared" si="0"/>
        <v>2.5157232704402517E-2</v>
      </c>
      <c r="C14" s="5">
        <f t="shared" si="1"/>
        <v>60</v>
      </c>
      <c r="D14" s="14">
        <f t="shared" si="2"/>
        <v>84.166666666666671</v>
      </c>
      <c r="E14" s="14">
        <f t="shared" si="3"/>
        <v>24.166666666666671</v>
      </c>
      <c r="F14" s="31" t="s">
        <v>12</v>
      </c>
      <c r="G14" s="13">
        <v>50</v>
      </c>
      <c r="H14" s="4">
        <v>30</v>
      </c>
      <c r="I14" s="25">
        <f t="shared" si="4"/>
        <v>-0.4</v>
      </c>
      <c r="J14" s="13">
        <v>50</v>
      </c>
      <c r="K14" s="4">
        <v>15</v>
      </c>
      <c r="L14" s="25">
        <f t="shared" si="5"/>
        <v>-0.7</v>
      </c>
      <c r="M14" s="13">
        <v>50</v>
      </c>
      <c r="N14" s="5">
        <v>30</v>
      </c>
      <c r="O14" s="25">
        <f t="shared" si="6"/>
        <v>-0.4</v>
      </c>
      <c r="P14" s="13">
        <v>50</v>
      </c>
      <c r="Q14" s="5">
        <v>210</v>
      </c>
      <c r="R14" s="25">
        <f t="shared" si="7"/>
        <v>3.2</v>
      </c>
      <c r="S14" s="13">
        <v>50</v>
      </c>
      <c r="T14" s="9">
        <v>120</v>
      </c>
      <c r="U14" s="25">
        <f t="shared" si="8"/>
        <v>1.4</v>
      </c>
      <c r="V14" s="13">
        <v>50</v>
      </c>
      <c r="W14" s="5">
        <v>100</v>
      </c>
      <c r="X14" s="25">
        <f t="shared" si="9"/>
        <v>1</v>
      </c>
      <c r="Y14" s="13">
        <v>50</v>
      </c>
      <c r="Z14" s="5"/>
      <c r="AA14" s="25"/>
      <c r="AB14" s="13">
        <v>50</v>
      </c>
      <c r="AC14" s="5"/>
      <c r="AD14" s="25"/>
      <c r="AE14" s="13">
        <v>50</v>
      </c>
      <c r="AF14" s="5"/>
      <c r="AG14" s="25"/>
      <c r="AH14" s="13">
        <v>50</v>
      </c>
      <c r="AI14" s="5"/>
      <c r="AJ14" s="25"/>
      <c r="AK14" s="13">
        <v>50</v>
      </c>
      <c r="AL14" s="5"/>
      <c r="AM14" s="25"/>
      <c r="AN14" s="13">
        <v>50</v>
      </c>
      <c r="AO14" s="5"/>
      <c r="AP14" s="25"/>
    </row>
    <row r="15" spans="1:42" ht="17" thickBot="1" x14ac:dyDescent="0.25">
      <c r="A15" s="18">
        <v>1500</v>
      </c>
      <c r="B15" s="19">
        <f t="shared" si="0"/>
        <v>5.2410901467505239E-2</v>
      </c>
      <c r="C15" s="18">
        <f t="shared" si="1"/>
        <v>125</v>
      </c>
      <c r="D15" s="14">
        <f t="shared" si="2"/>
        <v>129.16666666666666</v>
      </c>
      <c r="E15" s="51">
        <f t="shared" si="3"/>
        <v>4.1666666666666572</v>
      </c>
      <c r="F15" s="32" t="s">
        <v>29</v>
      </c>
      <c r="G15" s="20">
        <v>100</v>
      </c>
      <c r="H15" s="21">
        <v>25</v>
      </c>
      <c r="I15" s="26">
        <f t="shared" si="4"/>
        <v>-0.75</v>
      </c>
      <c r="J15" s="20">
        <v>100</v>
      </c>
      <c r="K15" s="21">
        <v>100</v>
      </c>
      <c r="L15" s="26">
        <f t="shared" si="5"/>
        <v>0</v>
      </c>
      <c r="M15" s="20">
        <v>100</v>
      </c>
      <c r="N15" s="18">
        <v>50</v>
      </c>
      <c r="O15" s="26">
        <f t="shared" si="6"/>
        <v>-0.5</v>
      </c>
      <c r="P15" s="20">
        <v>100</v>
      </c>
      <c r="Q15" s="18">
        <v>300</v>
      </c>
      <c r="R15" s="26">
        <f t="shared" si="7"/>
        <v>2</v>
      </c>
      <c r="S15" s="20">
        <v>100</v>
      </c>
      <c r="T15" s="22">
        <v>200</v>
      </c>
      <c r="U15" s="26">
        <f t="shared" si="8"/>
        <v>1</v>
      </c>
      <c r="V15" s="20">
        <v>100</v>
      </c>
      <c r="W15" s="18">
        <v>100</v>
      </c>
      <c r="X15" s="26">
        <f t="shared" si="9"/>
        <v>0</v>
      </c>
      <c r="Y15" s="20">
        <v>100</v>
      </c>
      <c r="Z15" s="18"/>
      <c r="AA15" s="26"/>
      <c r="AB15" s="20">
        <v>100</v>
      </c>
      <c r="AC15" s="18"/>
      <c r="AD15" s="26"/>
      <c r="AE15" s="20">
        <v>100</v>
      </c>
      <c r="AF15" s="18"/>
      <c r="AG15" s="26"/>
      <c r="AH15" s="20">
        <v>100</v>
      </c>
      <c r="AI15" s="18"/>
      <c r="AJ15" s="26"/>
      <c r="AK15" s="20">
        <v>100</v>
      </c>
      <c r="AL15" s="18"/>
      <c r="AM15" s="26"/>
      <c r="AN15" s="20">
        <v>100</v>
      </c>
      <c r="AO15" s="18"/>
      <c r="AP15" s="26"/>
    </row>
    <row r="16" spans="1:42" ht="24" customHeight="1" x14ac:dyDescent="0.2">
      <c r="A16" s="30">
        <f>SUM(A4:A15)</f>
        <v>28620</v>
      </c>
      <c r="B16" s="15"/>
      <c r="C16" s="30">
        <f>SUM(C4:C15)</f>
        <v>2385</v>
      </c>
      <c r="D16" s="30">
        <f>SUM(D4:D15)</f>
        <v>2537.4999999999995</v>
      </c>
      <c r="E16" s="30">
        <f>SUM(E4:E15)</f>
        <v>152.50000000000003</v>
      </c>
      <c r="F16" s="33" t="s">
        <v>14</v>
      </c>
      <c r="G16" s="30">
        <f t="shared" ref="G16:H16" si="10">SUM(G4:G15)</f>
        <v>2365</v>
      </c>
      <c r="H16" s="30">
        <f t="shared" si="10"/>
        <v>2555</v>
      </c>
      <c r="I16" s="27">
        <f>(H16-G16)/G16</f>
        <v>8.0338266384778007E-2</v>
      </c>
      <c r="J16" s="30">
        <f t="shared" ref="J16" si="11">SUM(J4:J15)</f>
        <v>2365</v>
      </c>
      <c r="K16" s="30">
        <f t="shared" ref="K16" si="12">SUM(K4:K15)</f>
        <v>2455</v>
      </c>
      <c r="L16" s="27">
        <f>(K16-J16)/J16</f>
        <v>3.8054968287526428E-2</v>
      </c>
      <c r="M16" s="30">
        <f t="shared" ref="M16" si="13">SUM(M4:M15)</f>
        <v>2365</v>
      </c>
      <c r="N16" s="30">
        <f t="shared" ref="N16" si="14">SUM(N4:N15)</f>
        <v>2245</v>
      </c>
      <c r="O16" s="27">
        <f>(N16-M16)/M16</f>
        <v>-5.0739957716701901E-2</v>
      </c>
      <c r="P16" s="30">
        <f t="shared" ref="P16" si="15">SUM(P4:P15)</f>
        <v>2365</v>
      </c>
      <c r="Q16" s="30">
        <f t="shared" ref="Q16" si="16">SUM(Q4:Q15)</f>
        <v>2770</v>
      </c>
      <c r="R16" s="27">
        <f>(Q16-P16)/P16</f>
        <v>0.17124735729386892</v>
      </c>
      <c r="S16" s="30">
        <f t="shared" ref="S16" si="17">SUM(S4:S15)</f>
        <v>2365</v>
      </c>
      <c r="T16" s="30">
        <f t="shared" ref="T16" si="18">SUM(T4:T15)</f>
        <v>2660</v>
      </c>
      <c r="U16" s="27">
        <f>(T16-S16)/S16</f>
        <v>0.12473572938689217</v>
      </c>
      <c r="V16" s="30">
        <f t="shared" ref="V16" si="19">SUM(V4:V15)</f>
        <v>2365</v>
      </c>
      <c r="W16" s="30">
        <f t="shared" ref="W16" si="20">SUM(W4:W15)</f>
        <v>2540</v>
      </c>
      <c r="X16" s="27">
        <f>(W16-V16)/V16</f>
        <v>7.399577167019028E-2</v>
      </c>
      <c r="Y16" s="30">
        <f t="shared" ref="Y16" si="21">SUM(Y4:Y15)</f>
        <v>2365</v>
      </c>
      <c r="Z16" s="30">
        <f t="shared" ref="Z16" si="22">SUM(Z4:Z15)</f>
        <v>0</v>
      </c>
      <c r="AA16" s="27"/>
      <c r="AB16" s="30">
        <f t="shared" ref="AB16" si="23">SUM(AB4:AB15)</f>
        <v>2365</v>
      </c>
      <c r="AC16" s="30">
        <f t="shared" ref="AC16" si="24">SUM(AC4:AC15)</f>
        <v>0</v>
      </c>
      <c r="AD16" s="27"/>
      <c r="AE16" s="30">
        <f t="shared" ref="AE16" si="25">SUM(AE4:AE15)</f>
        <v>2365</v>
      </c>
      <c r="AF16" s="30">
        <f t="shared" ref="AF16" si="26">SUM(AF4:AF15)</f>
        <v>0</v>
      </c>
      <c r="AG16" s="27"/>
      <c r="AH16" s="30">
        <f t="shared" ref="AH16" si="27">SUM(AH4:AH15)</f>
        <v>2365</v>
      </c>
      <c r="AI16" s="30">
        <f t="shared" ref="AI16" si="28">SUM(AI4:AI15)</f>
        <v>0</v>
      </c>
      <c r="AJ16" s="27"/>
      <c r="AK16" s="30">
        <f t="shared" ref="AK16" si="29">SUM(AK4:AK15)</f>
        <v>2365</v>
      </c>
      <c r="AL16" s="30">
        <f t="shared" ref="AL16" si="30">SUM(AL4:AL15)</f>
        <v>0</v>
      </c>
      <c r="AM16" s="27"/>
      <c r="AN16" s="30">
        <f t="shared" ref="AN16" si="31">SUM(AN4:AN15)</f>
        <v>2365</v>
      </c>
      <c r="AO16" s="30">
        <f t="shared" ref="AO16" si="32">SUM(AO4:AO15)</f>
        <v>0</v>
      </c>
      <c r="AP16" s="27"/>
    </row>
    <row r="17" spans="1:42" ht="24" customHeight="1" thickBot="1" x14ac:dyDescent="0.25">
      <c r="A17" s="24"/>
      <c r="B17" s="24"/>
      <c r="C17" s="24"/>
      <c r="D17" s="24"/>
      <c r="E17" s="15"/>
      <c r="F17" s="33" t="s">
        <v>35</v>
      </c>
      <c r="G17" s="12">
        <v>2500</v>
      </c>
      <c r="H17" s="6">
        <f>G17</f>
        <v>2500</v>
      </c>
      <c r="I17" s="28">
        <f t="shared" si="4"/>
        <v>0</v>
      </c>
      <c r="J17" s="12">
        <v>2500</v>
      </c>
      <c r="K17" s="6">
        <f>J17</f>
        <v>2500</v>
      </c>
      <c r="L17" s="28">
        <f t="shared" ref="L17:L18" si="33">(K17-J17)/J17</f>
        <v>0</v>
      </c>
      <c r="M17" s="12">
        <v>2500</v>
      </c>
      <c r="N17" s="6">
        <f>M17</f>
        <v>2500</v>
      </c>
      <c r="O17" s="28">
        <f t="shared" ref="O17:O18" si="34">(N17-M17)/M17</f>
        <v>0</v>
      </c>
      <c r="P17" s="12">
        <v>2500</v>
      </c>
      <c r="Q17" s="6">
        <f>P17</f>
        <v>2500</v>
      </c>
      <c r="R17" s="28">
        <f t="shared" ref="R17:R18" si="35">(Q17-P17)/P17</f>
        <v>0</v>
      </c>
      <c r="S17" s="12">
        <v>2500</v>
      </c>
      <c r="T17" s="6">
        <f>S17</f>
        <v>2500</v>
      </c>
      <c r="U17" s="28">
        <f t="shared" ref="U17:U18" si="36">(T17-S17)/S17</f>
        <v>0</v>
      </c>
      <c r="V17" s="12">
        <v>2500</v>
      </c>
      <c r="W17" s="6">
        <f>V17</f>
        <v>2500</v>
      </c>
      <c r="X17" s="28">
        <f t="shared" ref="X17:X18" si="37">(W17-V17)/V17</f>
        <v>0</v>
      </c>
      <c r="Y17" s="12">
        <v>2500</v>
      </c>
      <c r="Z17" s="6">
        <f>Y17</f>
        <v>2500</v>
      </c>
      <c r="AA17" s="28"/>
      <c r="AB17" s="12">
        <v>2500</v>
      </c>
      <c r="AC17" s="6">
        <f>AB17</f>
        <v>2500</v>
      </c>
      <c r="AD17" s="28"/>
      <c r="AE17" s="12">
        <v>2500</v>
      </c>
      <c r="AF17" s="6">
        <f>AE17</f>
        <v>2500</v>
      </c>
      <c r="AG17" s="28"/>
      <c r="AH17" s="12">
        <v>2500</v>
      </c>
      <c r="AI17" s="6">
        <f>AH17</f>
        <v>2500</v>
      </c>
      <c r="AJ17" s="28"/>
      <c r="AK17" s="12">
        <v>2500</v>
      </c>
      <c r="AL17" s="6">
        <f>AK17</f>
        <v>2500</v>
      </c>
      <c r="AM17" s="28"/>
      <c r="AN17" s="12">
        <v>2500</v>
      </c>
      <c r="AO17" s="6">
        <f>AN17</f>
        <v>2500</v>
      </c>
      <c r="AP17" s="28"/>
    </row>
    <row r="18" spans="1:42" ht="23.25" customHeight="1" thickTop="1" x14ac:dyDescent="0.2">
      <c r="A18" s="37" t="s">
        <v>36</v>
      </c>
      <c r="B18" s="38"/>
      <c r="C18" s="39"/>
      <c r="D18" s="53">
        <f>MAX(H18,K18,N18,Q18,T18,W18,Z18,AC18,AF18,AI18,AL18,AO18)</f>
        <v>255</v>
      </c>
      <c r="E18" s="23"/>
      <c r="F18" s="31" t="s">
        <v>15</v>
      </c>
      <c r="G18" s="12">
        <f>G17-G16</f>
        <v>135</v>
      </c>
      <c r="H18" s="12">
        <f>H17-H16</f>
        <v>-55</v>
      </c>
      <c r="I18" s="29">
        <f t="shared" si="4"/>
        <v>-1.4074074074074074</v>
      </c>
      <c r="J18" s="12">
        <f>J17-J16</f>
        <v>135</v>
      </c>
      <c r="K18" s="12">
        <f>K17-K16</f>
        <v>45</v>
      </c>
      <c r="L18" s="29">
        <f t="shared" si="33"/>
        <v>-0.66666666666666663</v>
      </c>
      <c r="M18" s="12">
        <f>M17-M16</f>
        <v>135</v>
      </c>
      <c r="N18" s="12">
        <f>N17-N16</f>
        <v>255</v>
      </c>
      <c r="O18" s="29">
        <f t="shared" si="34"/>
        <v>0.88888888888888884</v>
      </c>
      <c r="P18" s="12">
        <f>P17-P16</f>
        <v>135</v>
      </c>
      <c r="Q18" s="12">
        <f>Q17-Q16</f>
        <v>-270</v>
      </c>
      <c r="R18" s="29">
        <f t="shared" si="35"/>
        <v>-3</v>
      </c>
      <c r="S18" s="12">
        <f>S17-S16</f>
        <v>135</v>
      </c>
      <c r="T18" s="12">
        <f>T17-T16</f>
        <v>-160</v>
      </c>
      <c r="U18" s="29">
        <f t="shared" si="36"/>
        <v>-2.1851851851851851</v>
      </c>
      <c r="V18" s="12">
        <f>V17-V16</f>
        <v>135</v>
      </c>
      <c r="W18" s="12">
        <f>W17-W16</f>
        <v>-40</v>
      </c>
      <c r="X18" s="29">
        <f t="shared" si="37"/>
        <v>-1.2962962962962963</v>
      </c>
      <c r="Y18" s="12"/>
      <c r="Z18" s="1"/>
      <c r="AA18" s="29"/>
      <c r="AB18" s="12"/>
      <c r="AC18" s="1"/>
      <c r="AD18" s="29"/>
      <c r="AE18" s="12"/>
      <c r="AF18" s="1"/>
      <c r="AG18" s="29"/>
      <c r="AH18" s="12"/>
      <c r="AI18" s="1"/>
      <c r="AJ18" s="29"/>
      <c r="AK18" s="12"/>
      <c r="AL18" s="1"/>
      <c r="AM18" s="29"/>
      <c r="AN18" s="12"/>
      <c r="AO18" s="1"/>
      <c r="AP18" s="29"/>
    </row>
    <row r="19" spans="1:42" ht="23.25" customHeight="1" thickBot="1" x14ac:dyDescent="0.25">
      <c r="A19" s="40" t="s">
        <v>37</v>
      </c>
      <c r="B19" s="41"/>
      <c r="C19" s="42"/>
      <c r="D19" s="54">
        <f>MIN(H18,K18,N18,Q18,T18,W18,Z18,AC18,AF18,AI18,AL18,AO18)</f>
        <v>-270</v>
      </c>
      <c r="E19" s="23"/>
      <c r="F19" s="1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23.25" customHeight="1" thickTop="1" x14ac:dyDescent="0.2">
      <c r="A20" s="15"/>
      <c r="B20" s="15"/>
      <c r="C20" s="15"/>
      <c r="D20" s="15"/>
      <c r="E20" s="1"/>
      <c r="F20" s="1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24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</sheetData>
  <mergeCells count="15">
    <mergeCell ref="A1:E1"/>
    <mergeCell ref="A18:C18"/>
    <mergeCell ref="A19:C19"/>
    <mergeCell ref="AK2:AM2"/>
    <mergeCell ref="AN2:AP2"/>
    <mergeCell ref="P2:R2"/>
    <mergeCell ref="S2:U2"/>
    <mergeCell ref="V2:X2"/>
    <mergeCell ref="Y2:AA2"/>
    <mergeCell ref="AB2:AD2"/>
    <mergeCell ref="AE2:AG2"/>
    <mergeCell ref="G2:I2"/>
    <mergeCell ref="J2:L2"/>
    <mergeCell ref="M2:O2"/>
    <mergeCell ref="AH2:AJ2"/>
  </mergeCells>
  <conditionalFormatting sqref="E4:E15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{7C63BBFB-B05D-4C44-B50B-344255CBF75A}</x14:id>
        </ext>
      </extLst>
    </cfRule>
  </conditionalFormatting>
  <conditionalFormatting sqref="I4:I15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4:L15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4:O15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R4:R15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U4:U15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4:X15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1">
    <cfRule type="expression" dxfId="11" priority="12">
      <formula>H1&lt;&gt;$F$2</formula>
    </cfRule>
  </conditionalFormatting>
  <conditionalFormatting sqref="K1">
    <cfRule type="expression" dxfId="10" priority="11">
      <formula>K1&lt;&gt;$F$2</formula>
    </cfRule>
  </conditionalFormatting>
  <conditionalFormatting sqref="N1">
    <cfRule type="expression" dxfId="9" priority="10">
      <formula>N1&lt;&gt;$F$2</formula>
    </cfRule>
  </conditionalFormatting>
  <conditionalFormatting sqref="Q1">
    <cfRule type="expression" dxfId="8" priority="9">
      <formula>Q1&lt;&gt;$F$2</formula>
    </cfRule>
  </conditionalFormatting>
  <conditionalFormatting sqref="T1">
    <cfRule type="expression" dxfId="7" priority="8">
      <formula>T1&lt;&gt;$F$2</formula>
    </cfRule>
  </conditionalFormatting>
  <conditionalFormatting sqref="W1">
    <cfRule type="expression" dxfId="6" priority="7">
      <formula>W1&lt;&gt;$F$2</formula>
    </cfRule>
  </conditionalFormatting>
  <conditionalFormatting sqref="Z1">
    <cfRule type="expression" dxfId="5" priority="6">
      <formula>Z1&lt;&gt;$F$2</formula>
    </cfRule>
  </conditionalFormatting>
  <conditionalFormatting sqref="AC1">
    <cfRule type="expression" dxfId="4" priority="5">
      <formula>AC1&lt;&gt;$F$2</formula>
    </cfRule>
  </conditionalFormatting>
  <conditionalFormatting sqref="AF1">
    <cfRule type="expression" dxfId="3" priority="4">
      <formula>AF1&lt;&gt;$F$2</formula>
    </cfRule>
  </conditionalFormatting>
  <conditionalFormatting sqref="AI1">
    <cfRule type="expression" dxfId="2" priority="3">
      <formula>AI1&lt;&gt;$F$2</formula>
    </cfRule>
  </conditionalFormatting>
  <conditionalFormatting sqref="AL1">
    <cfRule type="expression" dxfId="1" priority="2">
      <formula>AL1&lt;&gt;$F$2</formula>
    </cfRule>
  </conditionalFormatting>
  <conditionalFormatting sqref="AO1">
    <cfRule type="expression" dxfId="0" priority="1">
      <formula>AO1&lt;&gt;$F$2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63BBFB-B05D-4C44-B50B-344255CBF7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E4:E15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 Manzo</dc:creator>
  <cp:lastModifiedBy>Bailey, Travis</cp:lastModifiedBy>
  <dcterms:created xsi:type="dcterms:W3CDTF">2019-01-16T21:44:33Z</dcterms:created>
  <dcterms:modified xsi:type="dcterms:W3CDTF">2024-09-19T01:40:13Z</dcterms:modified>
</cp:coreProperties>
</file>