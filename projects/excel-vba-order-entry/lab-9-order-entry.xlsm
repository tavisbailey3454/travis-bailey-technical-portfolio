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chool\Labs\"/>
    </mc:Choice>
  </mc:AlternateContent>
  <xr:revisionPtr revIDLastSave="0" documentId="8_{1F20AE3B-088A-4D1E-ADA9-80D88F04F62E}" xr6:coauthVersionLast="47" xr6:coauthVersionMax="47" xr10:uidLastSave="{00000000-0000-0000-0000-000000000000}"/>
  <bookViews>
    <workbookView xWindow="5990" yWindow="5500" windowWidth="28800" windowHeight="15380" xr2:uid="{FA8F163E-58A2-4E48-82F9-A25119600A8B}"/>
  </bookViews>
  <sheets>
    <sheet name="OrderEntry" sheetId="2" r:id="rId1"/>
    <sheet name="OrderHistory" sheetId="1" r:id="rId2"/>
    <sheet name="ProductList" sheetId="3" r:id="rId3"/>
    <sheet name="CustomerList" sheetId="4" r:id="rId4"/>
  </sheets>
  <definedNames>
    <definedName name="OurCustomers">OFFSET(CustomerList!$A$4,0,0,COUNTA(CustomerList!$A:$A)-2,3)</definedName>
    <definedName name="OurProducts">OFFSET(ProductList!$A$4,0,0,COUNTA(ProductList!$A:$A)-2,2)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2" l="1"/>
  <c r="D8" i="2"/>
  <c r="D7" i="2"/>
  <c r="F1" i="4"/>
  <c r="F2" i="4"/>
  <c r="G1" i="1"/>
  <c r="F2" i="3"/>
</calcChain>
</file>

<file path=xl/sharedStrings.xml><?xml version="1.0" encoding="utf-8"?>
<sst xmlns="http://schemas.openxmlformats.org/spreadsheetml/2006/main" count="113" uniqueCount="47">
  <si>
    <t>Product Code:</t>
  </si>
  <si>
    <t>Product Description</t>
  </si>
  <si>
    <t>Product Description:</t>
  </si>
  <si>
    <t>ID:</t>
  </si>
  <si>
    <t>Name:</t>
  </si>
  <si>
    <t>Address:</t>
  </si>
  <si>
    <t>Hokie Shirt Order Form</t>
  </si>
  <si>
    <t>Order History</t>
  </si>
  <si>
    <t xml:space="preserve">Number of orders:  </t>
  </si>
  <si>
    <t>Note: New orders are added to the start of the list in this sheet !</t>
  </si>
  <si>
    <t>Date and Time</t>
  </si>
  <si>
    <t>Customer ID</t>
  </si>
  <si>
    <t>Customer Name</t>
  </si>
  <si>
    <t>Address</t>
  </si>
  <si>
    <t>Product Code</t>
  </si>
  <si>
    <t>Gender</t>
  </si>
  <si>
    <t>Quantity</t>
  </si>
  <si>
    <t>Mailing List ?</t>
  </si>
  <si>
    <t>James Russell</t>
  </si>
  <si>
    <t>300 Summer Road, Blacksburg, VA 24060</t>
  </si>
  <si>
    <t>T3</t>
  </si>
  <si>
    <t>Orange Stick It In</t>
  </si>
  <si>
    <t>Ladies</t>
  </si>
  <si>
    <t>Yes</t>
  </si>
  <si>
    <t>Lance Matheson</t>
  </si>
  <si>
    <t>100 Autumn Road, Blacksburg, VA 24060</t>
  </si>
  <si>
    <t>T2</t>
  </si>
  <si>
    <t>Maroon Football</t>
  </si>
  <si>
    <t>Alan Abrahams</t>
  </si>
  <si>
    <t>200 Spring Street, Blacksburg, VA 24060</t>
  </si>
  <si>
    <t>T1</t>
  </si>
  <si>
    <t>White Pamplin</t>
  </si>
  <si>
    <t>Our Products</t>
  </si>
  <si>
    <t>Number of products:</t>
  </si>
  <si>
    <t>ProductID</t>
  </si>
  <si>
    <t>Customers</t>
  </si>
  <si>
    <t>Next available customer ID:</t>
  </si>
  <si>
    <t>Note: New customers are added to the end of the list in this sheet !</t>
  </si>
  <si>
    <t>Number of customers:</t>
  </si>
  <si>
    <t>CustomerID</t>
  </si>
  <si>
    <t>Customer Address</t>
  </si>
  <si>
    <t>John Doe</t>
  </si>
  <si>
    <t>Uptown</t>
  </si>
  <si>
    <t>Mens</t>
  </si>
  <si>
    <t>Bob ron</t>
  </si>
  <si>
    <t>Who cares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</si>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</sst>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horizontal="right"/>
    </xf>
    <xf numFmtId="1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127000</xdr:colOff>
          <xdr:row>3</xdr:row>
          <xdr:rowOff>114300</xdr:rowOff>
        </xdr:from>
        <xdr:to>
          <xdr:col>2</xdr:col>
          <xdr:colOff>946150</xdr:colOff>
          <xdr:row>4</xdr:row>
          <xdr:rowOff>133350</xdr:rowOff>
        </xdr:to>
        <xdr:sp macro="" textlink="">
          <xdr:nvSpPr>
            <xdr:cNvPr id="2049" name="LabelCustomerNam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9</xdr:row>
          <xdr:rowOff>57150</xdr:rowOff>
        </xdr:from>
        <xdr:to>
          <xdr:col>2</xdr:col>
          <xdr:colOff>1200150</xdr:colOff>
          <xdr:row>10</xdr:row>
          <xdr:rowOff>95250</xdr:rowOff>
        </xdr:to>
        <xdr:sp macro="" textlink="">
          <xdr:nvSpPr>
            <xdr:cNvPr id="2050" name="Label_ShirtTyp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596900</xdr:colOff>
          <xdr:row>17</xdr:row>
          <xdr:rowOff>25400</xdr:rowOff>
        </xdr:from>
        <xdr:to>
          <xdr:col>2</xdr:col>
          <xdr:colOff>1276350</xdr:colOff>
          <xdr:row>18</xdr:row>
          <xdr:rowOff>25400</xdr:rowOff>
        </xdr:to>
        <xdr:sp macro="" textlink="">
          <xdr:nvSpPr>
            <xdr:cNvPr id="2051" name="Label_Quantit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1250950</xdr:colOff>
          <xdr:row>3</xdr:row>
          <xdr:rowOff>50800</xdr:rowOff>
        </xdr:from>
        <xdr:to>
          <xdr:col>3</xdr:col>
          <xdr:colOff>1212850</xdr:colOff>
          <xdr:row>4</xdr:row>
          <xdr:rowOff>114300</xdr:rowOff>
        </xdr:to>
        <xdr:sp macro="" textlink="">
          <xdr:nvSpPr>
            <xdr:cNvPr id="2052" name="ComboBoxCustome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1308100</xdr:colOff>
          <xdr:row>9</xdr:row>
          <xdr:rowOff>12700</xdr:rowOff>
        </xdr:from>
        <xdr:to>
          <xdr:col>4</xdr:col>
          <xdr:colOff>228600</xdr:colOff>
          <xdr:row>10</xdr:row>
          <xdr:rowOff>152400</xdr:rowOff>
        </xdr:to>
        <xdr:sp macro="" textlink="">
          <xdr:nvSpPr>
            <xdr:cNvPr id="2053" name="ComboBoxShirtTyp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311150</xdr:colOff>
          <xdr:row>3</xdr:row>
          <xdr:rowOff>38100</xdr:rowOff>
        </xdr:from>
        <xdr:to>
          <xdr:col>6</xdr:col>
          <xdr:colOff>482600</xdr:colOff>
          <xdr:row>4</xdr:row>
          <xdr:rowOff>146050</xdr:rowOff>
        </xdr:to>
        <xdr:sp macro="" textlink="">
          <xdr:nvSpPr>
            <xdr:cNvPr id="2056" name="cbShowAddCustForm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21</xdr:row>
          <xdr:rowOff>165100</xdr:rowOff>
        </xdr:from>
        <xdr:to>
          <xdr:col>4</xdr:col>
          <xdr:colOff>114300</xdr:colOff>
          <xdr:row>23</xdr:row>
          <xdr:rowOff>107950</xdr:rowOff>
        </xdr:to>
        <xdr:sp macro="" textlink="">
          <xdr:nvSpPr>
            <xdr:cNvPr id="2057" name="CommandButtonAddOrd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565150</xdr:colOff>
          <xdr:row>13</xdr:row>
          <xdr:rowOff>50800</xdr:rowOff>
        </xdr:from>
        <xdr:to>
          <xdr:col>4</xdr:col>
          <xdr:colOff>69850</xdr:colOff>
          <xdr:row>14</xdr:row>
          <xdr:rowOff>146050</xdr:rowOff>
        </xdr:to>
        <xdr:sp macro="" textlink="">
          <xdr:nvSpPr>
            <xdr:cNvPr id="2058" name="OptionButton_Men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596900</xdr:colOff>
          <xdr:row>15</xdr:row>
          <xdr:rowOff>38100</xdr:rowOff>
        </xdr:from>
        <xdr:to>
          <xdr:col>4</xdr:col>
          <xdr:colOff>101600</xdr:colOff>
          <xdr:row>16</xdr:row>
          <xdr:rowOff>107950</xdr:rowOff>
        </xdr:to>
        <xdr:sp macro="" textlink="">
          <xdr:nvSpPr>
            <xdr:cNvPr id="2059" name="OptionButtonLadie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17</xdr:row>
          <xdr:rowOff>12700</xdr:rowOff>
        </xdr:from>
        <xdr:to>
          <xdr:col>4</xdr:col>
          <xdr:colOff>95250</xdr:colOff>
          <xdr:row>18</xdr:row>
          <xdr:rowOff>69850</xdr:rowOff>
        </xdr:to>
        <xdr:sp macro="" textlink="">
          <xdr:nvSpPr>
            <xdr:cNvPr id="2060" name="TextBox_Quantity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603250</xdr:colOff>
          <xdr:row>19</xdr:row>
          <xdr:rowOff>127000</xdr:rowOff>
        </xdr:from>
        <xdr:to>
          <xdr:col>4</xdr:col>
          <xdr:colOff>76200</xdr:colOff>
          <xdr:row>20</xdr:row>
          <xdr:rowOff>171450</xdr:rowOff>
        </xdr:to>
        <xdr:sp macro="" textlink="">
          <xdr:nvSpPr>
            <xdr:cNvPr id="2061" name="CheckBoxSignMeUp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3CC3-292C-4777-A424-7B00B53005CC}">
  <sheetPr codeName="Sheet1"/>
  <dimension ref="B2:G24"/>
  <sheetViews>
    <sheetView tabSelected="1" zoomScaleNormal="100" workbookViewId="0">
      <selection activeCell="C20" sqref="C20"/>
    </sheetView>
  </sheetViews>
  <sheetFormatPr defaultRowHeight="14.5" x14ac:dyDescent="0.35"/>
  <cols>
    <col min="3" max="3" width="20.7265625" bestFit="1" customWidth="1"/>
    <col min="4" max="4" width="17.453125" customWidth="1"/>
    <col min="7" max="7" width="28.453125" customWidth="1"/>
  </cols>
  <sheetData>
    <row r="2" spans="2:7" x14ac:dyDescent="0.35">
      <c r="B2" s="1"/>
      <c r="C2" s="1"/>
      <c r="D2" s="1"/>
      <c r="E2" s="1"/>
      <c r="F2" s="1"/>
      <c r="G2" s="1"/>
    </row>
    <row r="3" spans="2:7" ht="28.5" x14ac:dyDescent="0.65">
      <c r="B3" s="1"/>
      <c r="C3" s="2" t="s">
        <v>6</v>
      </c>
      <c r="D3" s="1"/>
      <c r="E3" s="1"/>
      <c r="F3" s="1"/>
      <c r="G3" s="1"/>
    </row>
    <row r="4" spans="2:7" x14ac:dyDescent="0.35">
      <c r="B4" s="1"/>
      <c r="C4" s="1"/>
      <c r="D4" s="1"/>
      <c r="E4" s="1"/>
      <c r="F4" s="1"/>
      <c r="G4" s="1"/>
    </row>
    <row r="5" spans="2:7" x14ac:dyDescent="0.35">
      <c r="B5" s="1"/>
      <c r="C5" s="1"/>
      <c r="D5" s="1"/>
      <c r="E5" s="1"/>
      <c r="F5" s="1"/>
      <c r="G5" s="1"/>
    </row>
    <row r="6" spans="2:7" x14ac:dyDescent="0.35">
      <c r="B6" s="1"/>
      <c r="C6" s="3" t="s">
        <v>3</v>
      </c>
      <c r="D6" s="1" t="e">
        <v>#N/A</v>
      </c>
      <c r="E6" s="1"/>
      <c r="F6" s="1"/>
      <c r="G6" s="1"/>
    </row>
    <row r="7" spans="2:7" x14ac:dyDescent="0.35">
      <c r="B7" s="1"/>
      <c r="C7" s="3" t="s">
        <v>4</v>
      </c>
      <c r="D7" s="1" t="e">
        <f ca="1">VLOOKUP($D$6,OurCustomers,2)</f>
        <v>#N/A</v>
      </c>
      <c r="E7" s="1"/>
      <c r="F7" s="1"/>
      <c r="G7" s="1"/>
    </row>
    <row r="8" spans="2:7" x14ac:dyDescent="0.35">
      <c r="B8" s="1"/>
      <c r="C8" s="3" t="s">
        <v>5</v>
      </c>
      <c r="D8" s="1" t="e">
        <f ca="1">VLOOKUP($D$6,OurCustomers,3)</f>
        <v>#N/A</v>
      </c>
      <c r="E8" s="1"/>
      <c r="F8" s="1"/>
      <c r="G8" s="1"/>
    </row>
    <row r="9" spans="2:7" x14ac:dyDescent="0.35">
      <c r="B9" s="1"/>
      <c r="C9" s="1"/>
      <c r="D9" s="1"/>
      <c r="E9" s="1"/>
      <c r="F9" s="1"/>
      <c r="G9" s="1"/>
    </row>
    <row r="10" spans="2:7" x14ac:dyDescent="0.35">
      <c r="B10" s="1"/>
      <c r="C10" s="1"/>
      <c r="D10" s="1"/>
      <c r="E10" s="1"/>
      <c r="F10" s="1"/>
      <c r="G10" s="1"/>
    </row>
    <row r="11" spans="2:7" x14ac:dyDescent="0.35">
      <c r="B11" s="1"/>
      <c r="C11" s="3"/>
      <c r="D11" s="1"/>
      <c r="E11" s="1"/>
      <c r="F11" s="1"/>
      <c r="G11" s="1"/>
    </row>
    <row r="12" spans="2:7" x14ac:dyDescent="0.35">
      <c r="B12" s="1"/>
      <c r="C12" s="3" t="s">
        <v>0</v>
      </c>
      <c r="D12" s="1" t="s">
        <v>26</v>
      </c>
      <c r="E12" s="1"/>
      <c r="F12" s="1"/>
      <c r="G12" s="1"/>
    </row>
    <row r="13" spans="2:7" x14ac:dyDescent="0.35">
      <c r="B13" s="1"/>
      <c r="C13" s="1" t="s">
        <v>2</v>
      </c>
      <c r="D13" s="1" t="str">
        <f ca="1">VLOOKUP($D$12,OurProducts,2)</f>
        <v>Maroon Football</v>
      </c>
      <c r="E13" s="1"/>
      <c r="F13" s="1"/>
      <c r="G13" s="1"/>
    </row>
    <row r="14" spans="2:7" x14ac:dyDescent="0.35">
      <c r="B14" s="1"/>
      <c r="C14" s="1"/>
      <c r="D14" s="1"/>
      <c r="E14" s="1"/>
      <c r="F14" s="1"/>
      <c r="G14" s="1"/>
    </row>
    <row r="15" spans="2:7" x14ac:dyDescent="0.35">
      <c r="B15" s="1"/>
      <c r="C15" s="1"/>
      <c r="D15" s="1"/>
      <c r="E15" s="1"/>
      <c r="F15" s="1"/>
      <c r="G15" s="1"/>
    </row>
    <row r="16" spans="2:7" x14ac:dyDescent="0.35">
      <c r="B16" s="1"/>
      <c r="C16" s="1"/>
      <c r="D16" s="1"/>
      <c r="E16" s="1"/>
      <c r="F16" s="1"/>
      <c r="G16" s="1"/>
    </row>
    <row r="17" spans="2:7" x14ac:dyDescent="0.35">
      <c r="B17" s="1"/>
      <c r="C17" s="1"/>
      <c r="D17" s="1"/>
      <c r="E17" s="1"/>
      <c r="F17" s="1"/>
      <c r="G17" s="1"/>
    </row>
    <row r="18" spans="2:7" x14ac:dyDescent="0.35">
      <c r="B18" s="1"/>
      <c r="C18" s="1"/>
      <c r="D18" s="1"/>
      <c r="E18" s="1"/>
      <c r="F18" s="1"/>
      <c r="G18" s="1"/>
    </row>
    <row r="19" spans="2:7" x14ac:dyDescent="0.35">
      <c r="B19" s="1"/>
      <c r="C19" s="1"/>
      <c r="D19" s="1"/>
      <c r="E19" s="1"/>
      <c r="F19" s="1"/>
      <c r="G19" s="1"/>
    </row>
    <row r="20" spans="2:7" x14ac:dyDescent="0.35">
      <c r="B20" s="1"/>
      <c r="C20" s="1"/>
      <c r="D20" s="1"/>
      <c r="E20" s="1"/>
      <c r="F20" s="1"/>
      <c r="G20" s="1"/>
    </row>
    <row r="21" spans="2:7" x14ac:dyDescent="0.35">
      <c r="B21" s="1"/>
      <c r="C21" s="1"/>
      <c r="D21" s="1"/>
      <c r="E21" s="1"/>
      <c r="F21" s="1"/>
      <c r="G21" s="1"/>
    </row>
    <row r="22" spans="2:7" x14ac:dyDescent="0.35">
      <c r="B22" s="1"/>
      <c r="C22" s="1"/>
      <c r="D22" s="1"/>
      <c r="E22" s="1"/>
      <c r="F22" s="1"/>
      <c r="G22" s="1"/>
    </row>
    <row r="23" spans="2:7" x14ac:dyDescent="0.35">
      <c r="B23" s="1"/>
      <c r="C23" s="1"/>
      <c r="D23" s="1"/>
      <c r="E23" s="1"/>
      <c r="F23" s="1"/>
      <c r="G23" s="1"/>
    </row>
    <row r="24" spans="2:7" x14ac:dyDescent="0.35">
      <c r="B24" s="1"/>
      <c r="C24" s="1"/>
      <c r="D24" s="1"/>
      <c r="E24" s="1"/>
      <c r="F24" s="1"/>
      <c r="G24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LabelCustomerName">
          <controlPr defaultSize="0" autoLine="0" r:id="rId4">
            <anchor moveWithCells="1">
              <from>
                <xdr:col>2</xdr:col>
                <xdr:colOff>127000</xdr:colOff>
                <xdr:row>3</xdr:row>
                <xdr:rowOff>114300</xdr:rowOff>
              </from>
              <to>
                <xdr:col>2</xdr:col>
                <xdr:colOff>946150</xdr:colOff>
                <xdr:row>4</xdr:row>
                <xdr:rowOff>133350</xdr:rowOff>
              </to>
            </anchor>
          </controlPr>
        </control>
      </mc:Choice>
      <mc:Fallback>
        <control shapeId="2049" r:id="rId3" name="LabelCustomerName"/>
      </mc:Fallback>
    </mc:AlternateContent>
    <mc:AlternateContent xmlns:mc="http://schemas.openxmlformats.org/markup-compatibility/2006">
      <mc:Choice Requires="x14">
        <control shapeId="2050" r:id="rId5" name="Label_ShirtType">
          <controlPr defaultSize="0" autoLine="0" r:id="rId6">
            <anchor moveWithCells="1">
              <from>
                <xdr:col>2</xdr:col>
                <xdr:colOff>400050</xdr:colOff>
                <xdr:row>9</xdr:row>
                <xdr:rowOff>57150</xdr:rowOff>
              </from>
              <to>
                <xdr:col>2</xdr:col>
                <xdr:colOff>1200150</xdr:colOff>
                <xdr:row>10</xdr:row>
                <xdr:rowOff>95250</xdr:rowOff>
              </to>
            </anchor>
          </controlPr>
        </control>
      </mc:Choice>
      <mc:Fallback>
        <control shapeId="2050" r:id="rId5" name="Label_ShirtType"/>
      </mc:Fallback>
    </mc:AlternateContent>
    <mc:AlternateContent xmlns:mc="http://schemas.openxmlformats.org/markup-compatibility/2006">
      <mc:Choice Requires="x14">
        <control shapeId="2051" r:id="rId7" name="Label_Quantity">
          <controlPr defaultSize="0" autoLine="0" r:id="rId8">
            <anchor moveWithCells="1">
              <from>
                <xdr:col>2</xdr:col>
                <xdr:colOff>596900</xdr:colOff>
                <xdr:row>17</xdr:row>
                <xdr:rowOff>25400</xdr:rowOff>
              </from>
              <to>
                <xdr:col>2</xdr:col>
                <xdr:colOff>1276350</xdr:colOff>
                <xdr:row>18</xdr:row>
                <xdr:rowOff>25400</xdr:rowOff>
              </to>
            </anchor>
          </controlPr>
        </control>
      </mc:Choice>
      <mc:Fallback>
        <control shapeId="2051" r:id="rId7" name="Label_Quantity"/>
      </mc:Fallback>
    </mc:AlternateContent>
    <mc:AlternateContent xmlns:mc="http://schemas.openxmlformats.org/markup-compatibility/2006">
      <mc:Choice Requires="x14">
        <control shapeId="2052" r:id="rId9" name="ComboBoxCustomer">
          <controlPr defaultSize="0" autoLine="0" linkedCell="OrderEntry!D6" listFillRange="OurCustomers" r:id="rId10">
            <anchor moveWithCells="1">
              <from>
                <xdr:col>2</xdr:col>
                <xdr:colOff>1250950</xdr:colOff>
                <xdr:row>3</xdr:row>
                <xdr:rowOff>50800</xdr:rowOff>
              </from>
              <to>
                <xdr:col>3</xdr:col>
                <xdr:colOff>1212850</xdr:colOff>
                <xdr:row>4</xdr:row>
                <xdr:rowOff>114300</xdr:rowOff>
              </to>
            </anchor>
          </controlPr>
        </control>
      </mc:Choice>
      <mc:Fallback>
        <control shapeId="2052" r:id="rId9" name="ComboBoxCustomer"/>
      </mc:Fallback>
    </mc:AlternateContent>
    <mc:AlternateContent xmlns:mc="http://schemas.openxmlformats.org/markup-compatibility/2006">
      <mc:Choice Requires="x14">
        <control shapeId="2053" r:id="rId11" name="ComboBoxShirtType">
          <controlPr defaultSize="0" autoLine="0" linkedCell="OrderEntry!D12" listFillRange="OurProducts" r:id="rId12">
            <anchor moveWithCells="1">
              <from>
                <xdr:col>2</xdr:col>
                <xdr:colOff>1308100</xdr:colOff>
                <xdr:row>9</xdr:row>
                <xdr:rowOff>12700</xdr:rowOff>
              </from>
              <to>
                <xdr:col>4</xdr:col>
                <xdr:colOff>228600</xdr:colOff>
                <xdr:row>10</xdr:row>
                <xdr:rowOff>152400</xdr:rowOff>
              </to>
            </anchor>
          </controlPr>
        </control>
      </mc:Choice>
      <mc:Fallback>
        <control shapeId="2053" r:id="rId11" name="ComboBoxShirtType"/>
      </mc:Fallback>
    </mc:AlternateContent>
    <mc:AlternateContent xmlns:mc="http://schemas.openxmlformats.org/markup-compatibility/2006">
      <mc:Choice Requires="x14">
        <control shapeId="2056" r:id="rId13" name="cbShowAddCustForm">
          <controlPr defaultSize="0" autoLine="0" r:id="rId14">
            <anchor moveWithCells="1">
              <from>
                <xdr:col>4</xdr:col>
                <xdr:colOff>311150</xdr:colOff>
                <xdr:row>3</xdr:row>
                <xdr:rowOff>38100</xdr:rowOff>
              </from>
              <to>
                <xdr:col>6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2056" r:id="rId13" name="cbShowAddCustForm"/>
      </mc:Fallback>
    </mc:AlternateContent>
    <mc:AlternateContent xmlns:mc="http://schemas.openxmlformats.org/markup-compatibility/2006">
      <mc:Choice Requires="x14">
        <control shapeId="2057" r:id="rId15" name="CommandButtonAddOrder">
          <controlPr defaultSize="0" autoLine="0" autoPict="0" r:id="rId16">
            <anchor moveWithCells="1">
              <from>
                <xdr:col>2</xdr:col>
                <xdr:colOff>571500</xdr:colOff>
                <xdr:row>21</xdr:row>
                <xdr:rowOff>165100</xdr:rowOff>
              </from>
              <to>
                <xdr:col>4</xdr:col>
                <xdr:colOff>114300</xdr:colOff>
                <xdr:row>23</xdr:row>
                <xdr:rowOff>107950</xdr:rowOff>
              </to>
            </anchor>
          </controlPr>
        </control>
      </mc:Choice>
      <mc:Fallback>
        <control shapeId="2057" r:id="rId15" name="CommandButtonAddOrder"/>
      </mc:Fallback>
    </mc:AlternateContent>
    <mc:AlternateContent xmlns:mc="http://schemas.openxmlformats.org/markup-compatibility/2006">
      <mc:Choice Requires="x14">
        <control shapeId="2058" r:id="rId17" name="OptionButton_Mens">
          <controlPr defaultSize="0" autoLine="0" autoPict="0" r:id="rId18">
            <anchor moveWithCells="1">
              <from>
                <xdr:col>2</xdr:col>
                <xdr:colOff>565150</xdr:colOff>
                <xdr:row>13</xdr:row>
                <xdr:rowOff>50800</xdr:rowOff>
              </from>
              <to>
                <xdr:col>4</xdr:col>
                <xdr:colOff>69850</xdr:colOff>
                <xdr:row>14</xdr:row>
                <xdr:rowOff>146050</xdr:rowOff>
              </to>
            </anchor>
          </controlPr>
        </control>
      </mc:Choice>
      <mc:Fallback>
        <control shapeId="2058" r:id="rId17" name="OptionButton_Mens"/>
      </mc:Fallback>
    </mc:AlternateContent>
    <mc:AlternateContent xmlns:mc="http://schemas.openxmlformats.org/markup-compatibility/2006">
      <mc:Choice Requires="x14">
        <control shapeId="2059" r:id="rId19" name="OptionButtonLadies">
          <controlPr defaultSize="0" autoLine="0" autoPict="0" r:id="rId20">
            <anchor moveWithCells="1">
              <from>
                <xdr:col>2</xdr:col>
                <xdr:colOff>596900</xdr:colOff>
                <xdr:row>15</xdr:row>
                <xdr:rowOff>38100</xdr:rowOff>
              </from>
              <to>
                <xdr:col>4</xdr:col>
                <xdr:colOff>101600</xdr:colOff>
                <xdr:row>16</xdr:row>
                <xdr:rowOff>107950</xdr:rowOff>
              </to>
            </anchor>
          </controlPr>
        </control>
      </mc:Choice>
      <mc:Fallback>
        <control shapeId="2059" r:id="rId19" name="OptionButtonLadies"/>
      </mc:Fallback>
    </mc:AlternateContent>
    <mc:AlternateContent xmlns:mc="http://schemas.openxmlformats.org/markup-compatibility/2006">
      <mc:Choice Requires="x14">
        <control shapeId="2060" r:id="rId21" name="TextBox_Quantity">
          <controlPr defaultSize="0" autoLine="0" autoPict="0" r:id="rId22">
            <anchor moveWithCells="1">
              <from>
                <xdr:col>3</xdr:col>
                <xdr:colOff>184150</xdr:colOff>
                <xdr:row>17</xdr:row>
                <xdr:rowOff>12700</xdr:rowOff>
              </from>
              <to>
                <xdr:col>4</xdr:col>
                <xdr:colOff>95250</xdr:colOff>
                <xdr:row>18</xdr:row>
                <xdr:rowOff>69850</xdr:rowOff>
              </to>
            </anchor>
          </controlPr>
        </control>
      </mc:Choice>
      <mc:Fallback>
        <control shapeId="2060" r:id="rId21" name="TextBox_Quantity"/>
      </mc:Fallback>
    </mc:AlternateContent>
    <mc:AlternateContent xmlns:mc="http://schemas.openxmlformats.org/markup-compatibility/2006">
      <mc:Choice Requires="x14">
        <control shapeId="2061" r:id="rId23" name="CheckBoxSignMeUp">
          <controlPr defaultSize="0" autoLine="0" autoPict="0" r:id="rId24">
            <anchor moveWithCells="1">
              <from>
                <xdr:col>2</xdr:col>
                <xdr:colOff>603250</xdr:colOff>
                <xdr:row>19</xdr:row>
                <xdr:rowOff>127000</xdr:rowOff>
              </from>
              <to>
                <xdr:col>4</xdr:col>
                <xdr:colOff>76200</xdr:colOff>
                <xdr:row>20</xdr:row>
                <xdr:rowOff>171450</xdr:rowOff>
              </to>
            </anchor>
          </controlPr>
        </control>
      </mc:Choice>
      <mc:Fallback>
        <control shapeId="2061" r:id="rId23" name="CheckBoxSignMeU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7BA7B-2CA4-486D-B4AD-2996492C50F0}">
  <sheetPr codeName="Sheet2"/>
  <dimension ref="A1:J16"/>
  <sheetViews>
    <sheetView workbookViewId="0">
      <selection activeCell="A5" sqref="A5:XFD5"/>
    </sheetView>
  </sheetViews>
  <sheetFormatPr defaultRowHeight="14.5" x14ac:dyDescent="0.35"/>
  <cols>
    <col min="1" max="1" width="14.08984375" bestFit="1" customWidth="1"/>
    <col min="2" max="2" width="11.54296875" customWidth="1"/>
    <col min="3" max="3" width="15.453125" bestFit="1" customWidth="1"/>
    <col min="4" max="4" width="37.1796875" bestFit="1" customWidth="1"/>
    <col min="5" max="5" width="12.7265625" bestFit="1" customWidth="1"/>
    <col min="6" max="6" width="18.7265625" bestFit="1" customWidth="1"/>
    <col min="9" max="9" width="12.453125" bestFit="1" customWidth="1"/>
  </cols>
  <sheetData>
    <row r="1" spans="1:10" x14ac:dyDescent="0.35">
      <c r="A1" s="1" t="s">
        <v>7</v>
      </c>
      <c r="B1" s="1"/>
      <c r="C1" s="1"/>
      <c r="D1" s="1"/>
      <c r="E1" s="1"/>
      <c r="F1" t="s">
        <v>8</v>
      </c>
      <c r="G1">
        <f>COUNTA(A:A)-2</f>
        <v>12</v>
      </c>
    </row>
    <row r="2" spans="1:10" x14ac:dyDescent="0.35">
      <c r="B2" t="s">
        <v>9</v>
      </c>
    </row>
    <row r="3" spans="1:10" x14ac:dyDescent="0.35">
      <c r="A3" s="1" t="s">
        <v>10</v>
      </c>
      <c r="B3" s="1" t="s">
        <v>11</v>
      </c>
      <c r="C3" s="1" t="s">
        <v>12</v>
      </c>
      <c r="D3" s="1" t="s">
        <v>13</v>
      </c>
      <c r="E3" s="1" t="s">
        <v>14</v>
      </c>
      <c r="F3" s="1" t="s">
        <v>1</v>
      </c>
      <c r="G3" s="1" t="s">
        <v>15</v>
      </c>
      <c r="H3" s="1" t="s">
        <v>16</v>
      </c>
      <c r="I3" s="1" t="s">
        <v>17</v>
      </c>
      <c r="J3" s="1"/>
    </row>
    <row r="5" spans="1:10" x14ac:dyDescent="0.35">
      <c r="A5" s="5">
        <v>46032.857847222222</v>
      </c>
      <c r="B5">
        <v>3</v>
      </c>
      <c r="C5" t="s">
        <v>18</v>
      </c>
      <c r="D5" t="s">
        <v>19</v>
      </c>
      <c r="E5" t="s">
        <v>26</v>
      </c>
      <c r="F5" t="s">
        <v>27</v>
      </c>
      <c r="G5" t="s">
        <v>43</v>
      </c>
      <c r="H5">
        <v>6</v>
      </c>
      <c r="I5" t="s">
        <v>46</v>
      </c>
    </row>
    <row r="6" spans="1:10" x14ac:dyDescent="0.35">
      <c r="A6" s="5">
        <v>46032.857789351852</v>
      </c>
      <c r="B6">
        <v>3</v>
      </c>
      <c r="C6" t="s">
        <v>18</v>
      </c>
      <c r="D6" t="s">
        <v>19</v>
      </c>
      <c r="E6" t="s">
        <v>26</v>
      </c>
      <c r="F6" t="s">
        <v>27</v>
      </c>
      <c r="G6" t="s">
        <v>43</v>
      </c>
      <c r="H6">
        <v>6</v>
      </c>
      <c r="I6" t="s">
        <v>23</v>
      </c>
    </row>
    <row r="7" spans="1:10" x14ac:dyDescent="0.35">
      <c r="A7" s="5">
        <v>46032.857731481483</v>
      </c>
      <c r="B7">
        <v>5</v>
      </c>
      <c r="C7" t="s">
        <v>44</v>
      </c>
      <c r="D7" t="s">
        <v>45</v>
      </c>
      <c r="E7" t="s">
        <v>26</v>
      </c>
      <c r="F7" t="s">
        <v>27</v>
      </c>
      <c r="G7" t="s">
        <v>43</v>
      </c>
      <c r="H7">
        <v>6</v>
      </c>
      <c r="I7" t="s">
        <v>23</v>
      </c>
    </row>
    <row r="8" spans="1:10" x14ac:dyDescent="0.35">
      <c r="A8" s="5">
        <v>46032.85696759259</v>
      </c>
      <c r="B8">
        <v>5</v>
      </c>
      <c r="C8" t="s">
        <v>44</v>
      </c>
      <c r="D8" t="s">
        <v>45</v>
      </c>
      <c r="E8" t="s">
        <v>26</v>
      </c>
      <c r="F8" t="s">
        <v>27</v>
      </c>
      <c r="G8" t="s">
        <v>22</v>
      </c>
      <c r="H8">
        <v>6</v>
      </c>
      <c r="I8" t="s">
        <v>23</v>
      </c>
    </row>
    <row r="9" spans="1:10" x14ac:dyDescent="0.35">
      <c r="A9" s="5">
        <v>46032.85496527778</v>
      </c>
      <c r="B9">
        <v>4</v>
      </c>
      <c r="C9" t="s">
        <v>41</v>
      </c>
      <c r="D9" t="s">
        <v>42</v>
      </c>
      <c r="E9" t="s">
        <v>26</v>
      </c>
      <c r="G9" t="s">
        <v>43</v>
      </c>
      <c r="H9">
        <v>8</v>
      </c>
      <c r="I9" t="s">
        <v>23</v>
      </c>
    </row>
    <row r="10" spans="1:10" x14ac:dyDescent="0.35">
      <c r="A10" s="5">
        <v>46032.854895833334</v>
      </c>
      <c r="B10">
        <v>4</v>
      </c>
      <c r="C10" t="s">
        <v>41</v>
      </c>
      <c r="D10" t="s">
        <v>42</v>
      </c>
      <c r="E10" t="s">
        <v>26</v>
      </c>
      <c r="G10" t="s">
        <v>43</v>
      </c>
      <c r="H10">
        <v>8</v>
      </c>
      <c r="I10" t="s">
        <v>23</v>
      </c>
    </row>
    <row r="11" spans="1:10" x14ac:dyDescent="0.35">
      <c r="A11" s="5">
        <v>46032.854791666665</v>
      </c>
      <c r="B11">
        <v>2</v>
      </c>
      <c r="C11" t="s">
        <v>24</v>
      </c>
      <c r="D11" t="s">
        <v>25</v>
      </c>
      <c r="E11" t="s">
        <v>26</v>
      </c>
      <c r="G11" t="s">
        <v>43</v>
      </c>
      <c r="H11">
        <v>8</v>
      </c>
      <c r="I11" t="s">
        <v>23</v>
      </c>
    </row>
    <row r="12" spans="1:10" x14ac:dyDescent="0.35">
      <c r="A12" s="5">
        <v>46032.854675925926</v>
      </c>
      <c r="B12">
        <v>2</v>
      </c>
      <c r="C12" t="s">
        <v>24</v>
      </c>
      <c r="D12" t="s">
        <v>25</v>
      </c>
      <c r="E12" t="s">
        <v>26</v>
      </c>
      <c r="G12" t="s">
        <v>43</v>
      </c>
      <c r="H12">
        <v>8</v>
      </c>
      <c r="I12" t="s">
        <v>23</v>
      </c>
    </row>
    <row r="13" spans="1:10" x14ac:dyDescent="0.35">
      <c r="A13" s="5">
        <v>46032.854664351849</v>
      </c>
      <c r="B13">
        <v>2</v>
      </c>
      <c r="C13" t="s">
        <v>24</v>
      </c>
      <c r="D13" t="s">
        <v>25</v>
      </c>
      <c r="E13" t="s">
        <v>26</v>
      </c>
      <c r="G13" t="s">
        <v>43</v>
      </c>
      <c r="H13">
        <v>8</v>
      </c>
      <c r="I13" t="s">
        <v>23</v>
      </c>
    </row>
    <row r="14" spans="1:10" x14ac:dyDescent="0.35">
      <c r="A14" s="4">
        <v>39369</v>
      </c>
      <c r="B14">
        <v>3</v>
      </c>
      <c r="C14" t="s">
        <v>18</v>
      </c>
      <c r="D14" t="s">
        <v>19</v>
      </c>
      <c r="E14" t="s">
        <v>20</v>
      </c>
      <c r="F14" t="s">
        <v>21</v>
      </c>
      <c r="G14" t="s">
        <v>22</v>
      </c>
      <c r="H14">
        <v>5</v>
      </c>
      <c r="I14" t="s">
        <v>23</v>
      </c>
    </row>
    <row r="15" spans="1:10" x14ac:dyDescent="0.35">
      <c r="A15" s="4">
        <v>39369</v>
      </c>
      <c r="B15">
        <v>2</v>
      </c>
      <c r="C15" t="s">
        <v>24</v>
      </c>
      <c r="D15" t="s">
        <v>25</v>
      </c>
      <c r="E15" t="s">
        <v>26</v>
      </c>
      <c r="F15" t="s">
        <v>27</v>
      </c>
      <c r="G15" t="s">
        <v>22</v>
      </c>
      <c r="H15">
        <v>5</v>
      </c>
      <c r="I15" t="s">
        <v>23</v>
      </c>
    </row>
    <row r="16" spans="1:10" x14ac:dyDescent="0.35">
      <c r="A16" s="4">
        <v>39369</v>
      </c>
      <c r="B16">
        <v>1</v>
      </c>
      <c r="C16" t="s">
        <v>28</v>
      </c>
      <c r="D16" t="s">
        <v>29</v>
      </c>
      <c r="E16" t="s">
        <v>30</v>
      </c>
      <c r="F16" t="s">
        <v>31</v>
      </c>
      <c r="G16" t="s">
        <v>22</v>
      </c>
      <c r="H16">
        <v>5</v>
      </c>
      <c r="I16" t="s">
        <v>23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758E-3C1E-4D18-85A3-18E97C584858}">
  <sheetPr codeName="Sheet3"/>
  <dimension ref="A1:F6"/>
  <sheetViews>
    <sheetView workbookViewId="0">
      <selection activeCell="G56" sqref="G56"/>
    </sheetView>
  </sheetViews>
  <sheetFormatPr defaultRowHeight="14.5" x14ac:dyDescent="0.35"/>
  <sheetData>
    <row r="1" spans="1:6" x14ac:dyDescent="0.35">
      <c r="A1" s="1" t="s">
        <v>32</v>
      </c>
      <c r="B1" s="1"/>
      <c r="C1" s="1"/>
    </row>
    <row r="2" spans="1:6" x14ac:dyDescent="0.35">
      <c r="D2" t="s">
        <v>33</v>
      </c>
      <c r="F2">
        <f ca="1">COUNTA(OurProducts A:A)</f>
        <v>3</v>
      </c>
    </row>
    <row r="3" spans="1:6" x14ac:dyDescent="0.35">
      <c r="A3" s="1" t="s">
        <v>34</v>
      </c>
      <c r="B3" s="1" t="s">
        <v>1</v>
      </c>
      <c r="C3" s="1"/>
    </row>
    <row r="4" spans="1:6" x14ac:dyDescent="0.35">
      <c r="A4" t="s">
        <v>30</v>
      </c>
      <c r="B4" t="s">
        <v>31</v>
      </c>
    </row>
    <row r="5" spans="1:6" x14ac:dyDescent="0.35">
      <c r="A5" t="s">
        <v>26</v>
      </c>
      <c r="B5" t="s">
        <v>27</v>
      </c>
    </row>
    <row r="6" spans="1:6" x14ac:dyDescent="0.35">
      <c r="A6" t="s">
        <v>20</v>
      </c>
      <c r="B6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A28C8-8F70-4675-857C-67AF7ADD5101}">
  <sheetPr codeName="Sheet4"/>
  <dimension ref="A1:F8"/>
  <sheetViews>
    <sheetView topLeftCell="B1" workbookViewId="0">
      <selection activeCell="C6" sqref="C6"/>
    </sheetView>
  </sheetViews>
  <sheetFormatPr defaultRowHeight="14.5" x14ac:dyDescent="0.35"/>
  <cols>
    <col min="1" max="1" width="11.26953125" bestFit="1" customWidth="1"/>
    <col min="2" max="2" width="60.26953125" bestFit="1" customWidth="1"/>
    <col min="3" max="3" width="37.1796875" bestFit="1" customWidth="1"/>
    <col min="5" max="5" width="25.54296875" bestFit="1" customWidth="1"/>
    <col min="6" max="6" width="8.1796875" bestFit="1" customWidth="1"/>
  </cols>
  <sheetData>
    <row r="1" spans="1:6" x14ac:dyDescent="0.35">
      <c r="A1" s="1" t="s">
        <v>35</v>
      </c>
      <c r="B1" s="1"/>
      <c r="C1" s="1"/>
      <c r="E1" t="s">
        <v>36</v>
      </c>
      <c r="F1">
        <f ca="1">MAX(OurCustomers)+1</f>
        <v>6</v>
      </c>
    </row>
    <row r="2" spans="1:6" x14ac:dyDescent="0.35">
      <c r="B2" t="s">
        <v>37</v>
      </c>
      <c r="E2" t="s">
        <v>38</v>
      </c>
      <c r="F2">
        <f ca="1">COUNTA(OurCustomers A:A)</f>
        <v>5</v>
      </c>
    </row>
    <row r="3" spans="1:6" x14ac:dyDescent="0.35">
      <c r="A3" s="1" t="s">
        <v>39</v>
      </c>
      <c r="B3" s="1" t="s">
        <v>12</v>
      </c>
      <c r="C3" s="1" t="s">
        <v>40</v>
      </c>
    </row>
    <row r="4" spans="1:6" x14ac:dyDescent="0.35">
      <c r="A4">
        <v>1</v>
      </c>
      <c r="B4" t="s">
        <v>28</v>
      </c>
      <c r="C4" t="s">
        <v>29</v>
      </c>
    </row>
    <row r="5" spans="1:6" x14ac:dyDescent="0.35">
      <c r="A5">
        <v>2</v>
      </c>
      <c r="B5" t="s">
        <v>24</v>
      </c>
      <c r="C5" t="s">
        <v>25</v>
      </c>
    </row>
    <row r="6" spans="1:6" x14ac:dyDescent="0.35">
      <c r="A6">
        <v>3</v>
      </c>
      <c r="B6" t="s">
        <v>18</v>
      </c>
      <c r="C6" t="s">
        <v>19</v>
      </c>
    </row>
    <row r="7" spans="1:6" x14ac:dyDescent="0.35">
      <c r="A7">
        <v>4</v>
      </c>
      <c r="B7" t="s">
        <v>41</v>
      </c>
      <c r="C7" t="s">
        <v>42</v>
      </c>
    </row>
    <row r="8" spans="1:6" x14ac:dyDescent="0.35">
      <c r="A8">
        <v>5</v>
      </c>
      <c r="B8" t="s">
        <v>44</v>
      </c>
      <c r="C8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OrderEntry</vt:lpstr>
      <vt:lpstr>OrderHistory</vt:lpstr>
      <vt:lpstr>ProductList</vt:lpstr>
      <vt:lpstr>CustomerList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Bailey, Travis</dc:creator>
  <cp:lastModifiedBy>Simpson, Taaron</cp:lastModifiedBy>
  <dcterms:created xsi:type="dcterms:W3CDTF">2026-01-10T15:58:18Z</dcterms:created>
  <dcterms:modified xsi:type="dcterms:W3CDTF">2026-01-11T01:36:48Z</dcterms:modified>
</cp:coreProperties>
</file>